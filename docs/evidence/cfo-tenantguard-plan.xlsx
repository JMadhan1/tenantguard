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TenantGuard unit economics" sheetId="1" r:id="rId1"/>
    <sheet name="TenantGuard three-case revenue" sheetId="2" r:id="rId2"/>
    <sheet name="TenantGuard inputs" sheetId="3" r:id="rId3"/>
    <sheet name="TenantGuard launch settings" sheetId="4" r:id="rId4"/>
    <sheet name="Model inputs" sheetId="5" r:id="rId5"/>
  </sheets>
  <calcPr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#,##0.0000;(#,##0.0000)"/>
    <numFmt numFmtId="165" formatCode="#,##0.###;(#,##0.###)"/>
    <numFmt numFmtId="166" formatCode="0.00%"/>
    <numFmt numFmtId="167" formatCode="&quot;$&quot;#,##0;(&quot;$&quot;#,##0)"/>
    <numFmt numFmtId="168" formatCode="#,##0.0;(#,##0.0)"/>
    <numFmt numFmtId="169" formatCode="#,##0.00000;(#,##0.00000)"/>
    <numFmt numFmtId="170" formatCode="#,##0.000;(#,##0.000)"/>
    <numFmt numFmtId="171" formatCode="0%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70" fontId="0" fillId="0" borderId="0" xfId="0" applyNumberFormat="1" applyAlignment="1">
      <alignment vertical="center" horizontal="right"/>
    </xf>
    <xf numFmtId="171" fontId="0" fillId="0" borderId="0" xfId="0" applyNumberFormat="1" applyAlignment="1">
      <alignment vertical="center" horizontal="right"/>
    </xf>
    <xf numFmtId="0" fontId="3" fillId="4" borderId="1" xfId="0" applyFill="1" applyFont="1" applyBorder="1"/>
    <xf numFmtId="0" fontId="3" fillId="6" borderId="0" xfId="0" applyFill="1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B12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TenantGuard unit economics</t>
        </is>
      </c>
    </row>
    <row r="2" ht="20" customHeight="1">
      <c r="A2" t="inlineStr" s="2">
        <is>
          <t xml:space="preserve">TenantGuard — Business Plan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Cost per completed remediation</t>
        </is>
      </c>
      <c r="B5" s="6">
        <f>'TenantGuard inputs'!B9*'TenantGuard inputs'!B7+'TenantGuard inputs'!B10</f>
        <v>0.042499999999999996</v>
      </c>
    </row>
    <row r="6">
      <c r="A6" t="inlineStr" s="7">
        <is>
          <t xml:space="preserve">Monthly compute cost per customer</t>
        </is>
      </c>
      <c r="B6" s="8">
        <f>'TenantGuard unit economics'!B5*'TenantGuard inputs'!B8</f>
        <v>4.25</v>
      </c>
    </row>
    <row r="7">
      <c r="A7" t="inlineStr" s="7">
        <is>
          <t xml:space="preserve">Unit compute gross margin</t>
        </is>
      </c>
      <c r="B7" s="9">
        <f>1-'TenantGuard unit economics'!B6/'TenantGuard inputs'!B6</f>
        <v>0.9934615384615385</v>
      </c>
    </row>
    <row r="8">
      <c r="A8" t="inlineStr" s="7">
        <is>
          <t xml:space="preserve">Break-even customers</t>
        </is>
      </c>
      <c r="B8" s="8">
        <f>CEILING('TenantGuard inputs'!B12/('TenantGuard inputs'!B6-'TenantGuard unit economics'!B6),1)</f>
        <v>78</v>
      </c>
    </row>
    <row r="9">
      <c r="A9" t="inlineStr" s="7">
        <is>
          <t xml:space="preserve">Revenue in first 12 months</t>
        </is>
      </c>
      <c r="B9" s="10">
        <f>SUM('TenantGuard three-case revenue'!B6,'TenantGuard three-case revenue'!E6,'TenantGuard three-case revenue'!H6,'TenantGuard three-case revenue'!K6,'TenantGuard three-case revenue'!N6,'TenantGuard three-case revenue'!Q6,'TenantGuard three-case revenue'!T6,'TenantGuard three-case revenue'!W6,'TenantGuard three-case revenue'!Z6,'TenantGuard three-case revenue'!AC6,'TenantGuard three-case revenue'!AF6,'TenantGuard three-case revenue'!AI6)</f>
        <v>507000</v>
      </c>
    </row>
    <row r="10">
      <c r="A10" t="inlineStr" s="7">
        <is>
          <t xml:space="preserve">Cash at month 12</t>
        </is>
      </c>
      <c r="B10" s="10">
        <f>IF('TenantGuard three-case revenue'!AI8="","",'TenantGuard three-case revenue'!AI8)</f>
        <v>803685</v>
      </c>
    </row>
    <row r="11">
      <c r="A11" t="inlineStr" s="7">
        <is>
          <t xml:space="preserve">Runway months under plateau</t>
        </is>
      </c>
      <c r="B11" t="str" s="11">
        <f>IF(IF(IF(ISERROR('Model inputs'!O29&lt;0),'Model inputs'!O29&lt;0,IF('Model inputs'!O29="","",'Model inputs'!O29&lt;0))="",FALSE,IF(ISERROR('Model inputs'!O29&lt;0),'Model inputs'!O29&lt;0,IF('Model inputs'!O29="","",'Model inputs'!O29&lt;0))),12+'TenantGuard unit economics'!B10/(-'Model inputs'!O29),"")</f>
        <v/>
      </c>
    </row>
    <row r="12">
      <c r="A12" t="inlineStr" s="5">
        <is>
          <t xml:space="preserve">No-revenue runway months</t>
        </is>
      </c>
      <c r="B12" s="12">
        <f>'TenantGuard inputs'!B13/'TenantGuard inputs'!B12</f>
        <v>18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AK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</cols>
  <sheetData>
    <row r="1" ht="32" customHeight="1">
      <c r="A1" t="inlineStr" s="1">
        <is>
          <t xml:space="preserve">TenantGuard three-case revenue ramp</t>
        </is>
      </c>
    </row>
    <row r="2" ht="20" customHeight="1">
      <c r="A2" t="inlineStr" s="2">
        <is>
          <t xml:space="preserve">TenantGuard — Business Plan · Main Scenario</t>
        </is>
      </c>
    </row>
    <row r="4" ht="22" customHeight="1">
      <c r="A4" t="inlineStr" s="3">
        <is>
          <t xml:space="preserve">Variable / dimension</t>
        </is>
      </c>
      <c r="B4" t="inlineStr" s="13">
        <is>
          <t xml:space="preserve">2026-10</t>
        </is>
      </c>
      <c r="C4" t="inlineStr" s="13">
        <is>
          <t xml:space="preserve">2026-10 &gt; TenantGuard — Low</t>
        </is>
      </c>
      <c r="D4" t="inlineStr" s="13">
        <is>
          <t xml:space="preserve">2026-10 &gt; TenantGuard — High</t>
        </is>
      </c>
      <c r="E4" t="inlineStr" s="4">
        <is>
          <t xml:space="preserve">2026-11</t>
        </is>
      </c>
      <c r="F4" t="inlineStr" s="4">
        <is>
          <t xml:space="preserve">2026-11 &gt; TenantGuard — Low</t>
        </is>
      </c>
      <c r="G4" t="inlineStr" s="4">
        <is>
          <t xml:space="preserve">2026-11 &gt; TenantGuard — High</t>
        </is>
      </c>
      <c r="H4" t="inlineStr" s="4">
        <is>
          <t xml:space="preserve">2026-12</t>
        </is>
      </c>
      <c r="I4" t="inlineStr" s="4">
        <is>
          <t xml:space="preserve">2026-12 &gt; TenantGuard — Low</t>
        </is>
      </c>
      <c r="J4" t="inlineStr" s="4">
        <is>
          <t xml:space="preserve">2026-12 &gt; TenantGuard — High</t>
        </is>
      </c>
      <c r="K4" t="inlineStr" s="13">
        <is>
          <t xml:space="preserve">2027-01</t>
        </is>
      </c>
      <c r="L4" t="inlineStr" s="13">
        <is>
          <t xml:space="preserve">2027-01 &gt; TenantGuard — Low</t>
        </is>
      </c>
      <c r="M4" t="inlineStr" s="13">
        <is>
          <t xml:space="preserve">2027-01 &gt; TenantGuard — High</t>
        </is>
      </c>
      <c r="N4" t="inlineStr" s="4">
        <is>
          <t xml:space="preserve">2027-02</t>
        </is>
      </c>
      <c r="O4" t="inlineStr" s="4">
        <is>
          <t xml:space="preserve">2027-02 &gt; TenantGuard — Low</t>
        </is>
      </c>
      <c r="P4" t="inlineStr" s="4">
        <is>
          <t xml:space="preserve">2027-02 &gt; TenantGuard — High</t>
        </is>
      </c>
      <c r="Q4" t="inlineStr" s="4">
        <is>
          <t xml:space="preserve">2027-03</t>
        </is>
      </c>
      <c r="R4" t="inlineStr" s="4">
        <is>
          <t xml:space="preserve">2027-03 &gt; TenantGuard — Low</t>
        </is>
      </c>
      <c r="S4" t="inlineStr" s="4">
        <is>
          <t xml:space="preserve">2027-03 &gt; TenantGuard — High</t>
        </is>
      </c>
      <c r="T4" t="inlineStr" s="13">
        <is>
          <t xml:space="preserve">2027-04</t>
        </is>
      </c>
      <c r="U4" t="inlineStr" s="13">
        <is>
          <t xml:space="preserve">2027-04 &gt; TenantGuard — Low</t>
        </is>
      </c>
      <c r="V4" t="inlineStr" s="13">
        <is>
          <t xml:space="preserve">2027-04 &gt; TenantGuard — High</t>
        </is>
      </c>
      <c r="W4" t="inlineStr" s="4">
        <is>
          <t xml:space="preserve">2027-05</t>
        </is>
      </c>
      <c r="X4" t="inlineStr" s="4">
        <is>
          <t xml:space="preserve">2027-05 &gt; TenantGuard — Low</t>
        </is>
      </c>
      <c r="Y4" t="inlineStr" s="4">
        <is>
          <t xml:space="preserve">2027-05 &gt; TenantGuard — High</t>
        </is>
      </c>
      <c r="Z4" t="inlineStr" s="4">
        <is>
          <t xml:space="preserve">2027-06</t>
        </is>
      </c>
      <c r="AA4" t="inlineStr" s="4">
        <is>
          <t xml:space="preserve">2027-06 &gt; TenantGuard — Low</t>
        </is>
      </c>
      <c r="AB4" t="inlineStr" s="4">
        <is>
          <t xml:space="preserve">2027-06 &gt; TenantGuard — High</t>
        </is>
      </c>
      <c r="AC4" t="inlineStr" s="13">
        <is>
          <t xml:space="preserve">2027-07</t>
        </is>
      </c>
      <c r="AD4" t="inlineStr" s="13">
        <is>
          <t xml:space="preserve">2027-07 &gt; TenantGuard — Low</t>
        </is>
      </c>
      <c r="AE4" t="inlineStr" s="13">
        <is>
          <t xml:space="preserve">2027-07 &gt; TenantGuard — High</t>
        </is>
      </c>
      <c r="AF4" t="inlineStr" s="4">
        <is>
          <t xml:space="preserve">2027-08</t>
        </is>
      </c>
      <c r="AG4" t="inlineStr" s="4">
        <is>
          <t xml:space="preserve">2027-08 &gt; TenantGuard — Low</t>
        </is>
      </c>
      <c r="AH4" t="inlineStr" s="4">
        <is>
          <t xml:space="preserve">2027-08 &gt; TenantGuard — High</t>
        </is>
      </c>
      <c r="AI4" t="inlineStr" s="4">
        <is>
          <t xml:space="preserve">2027-09</t>
        </is>
      </c>
      <c r="AJ4" t="inlineStr" s="4">
        <is>
          <t xml:space="preserve">2027-09 &gt; TenantGuard — Low</t>
        </is>
      </c>
      <c r="AK4" t="inlineStr" s="4">
        <is>
          <t xml:space="preserve">2027-09 &gt; TenantGuard — High</t>
        </is>
      </c>
    </row>
    <row r="5">
      <c r="A5" t="inlineStr" s="5">
        <is>
          <t xml:space="preserve">Ending customers</t>
        </is>
      </c>
      <c r="B5" s="12">
        <f>'Model inputs'!D23+'Model inputs'!D16-'Model inputs'!D13</f>
        <v>10</v>
      </c>
      <c r="C5" s="12">
        <f>'Model inputs'!D25+'Model inputs'!D18-'Model inputs'!D15</f>
        <v>3.3333333333333335</v>
      </c>
      <c r="D5" s="12">
        <f>'Model inputs'!D24+'Model inputs'!D17-'Model inputs'!D14</f>
        <v>21.666666666666668</v>
      </c>
      <c r="E5" s="12">
        <f>'Model inputs'!E23+'Model inputs'!E16-'Model inputs'!E13</f>
        <v>20</v>
      </c>
      <c r="F5" s="12">
        <f>'Model inputs'!E25+'Model inputs'!E18-'Model inputs'!E15</f>
        <v>6.666666666666667</v>
      </c>
      <c r="G5" s="12">
        <f>'Model inputs'!E24+'Model inputs'!E17-'Model inputs'!E14</f>
        <v>43.33333333333333</v>
      </c>
      <c r="H5" s="12">
        <f>'Model inputs'!F23+'Model inputs'!F16-'Model inputs'!F13</f>
        <v>30</v>
      </c>
      <c r="I5" s="12">
        <f>'Model inputs'!F25+'Model inputs'!F18-'Model inputs'!F15</f>
        <v>10</v>
      </c>
      <c r="J5" s="12">
        <f>'Model inputs'!F24+'Model inputs'!F17-'Model inputs'!F14</f>
        <v>65</v>
      </c>
      <c r="K5" s="12">
        <f>'Model inputs'!G23+'Model inputs'!G16-'Model inputs'!G13</f>
        <v>40</v>
      </c>
      <c r="L5" s="12">
        <f>'Model inputs'!G25+'Model inputs'!G18-'Model inputs'!G15</f>
        <v>13.333333333333334</v>
      </c>
      <c r="M5" s="12">
        <f>'Model inputs'!G24+'Model inputs'!G17-'Model inputs'!G14</f>
        <v>86.66666666666666</v>
      </c>
      <c r="N5" s="12">
        <f>'Model inputs'!H23+'Model inputs'!H16-'Model inputs'!H13</f>
        <v>50</v>
      </c>
      <c r="O5" s="12">
        <f>'Model inputs'!H25+'Model inputs'!H18-'Model inputs'!H15</f>
        <v>16.666666666666668</v>
      </c>
      <c r="P5" s="12">
        <f>'Model inputs'!H24+'Model inputs'!H17-'Model inputs'!H14</f>
        <v>108.33333333333333</v>
      </c>
      <c r="Q5" s="12">
        <f>'Model inputs'!I23+'Model inputs'!I16-'Model inputs'!I13</f>
        <v>60</v>
      </c>
      <c r="R5" s="12">
        <f>'Model inputs'!I25+'Model inputs'!I18-'Model inputs'!I15</f>
        <v>20</v>
      </c>
      <c r="S5" s="12">
        <f>'Model inputs'!I24+'Model inputs'!I17-'Model inputs'!I14</f>
        <v>129.99999999999997</v>
      </c>
      <c r="T5" s="12">
        <f>'Model inputs'!J23+'Model inputs'!J16-'Model inputs'!J13</f>
        <v>70</v>
      </c>
      <c r="U5" s="12">
        <f>'Model inputs'!J25+'Model inputs'!J18-'Model inputs'!J15</f>
        <v>23.333333333333336</v>
      </c>
      <c r="V5" s="12">
        <f>'Model inputs'!J24+'Model inputs'!J17-'Model inputs'!J14</f>
        <v>151.66666666666663</v>
      </c>
      <c r="W5" s="12">
        <f>'Model inputs'!K23+'Model inputs'!K16-'Model inputs'!K13</f>
        <v>80</v>
      </c>
      <c r="X5" s="12">
        <f>'Model inputs'!K25+'Model inputs'!K18-'Model inputs'!K15</f>
        <v>26.666666666666668</v>
      </c>
      <c r="Y5" s="12">
        <f>'Model inputs'!K24+'Model inputs'!K17-'Model inputs'!K14</f>
        <v>173.3333333333333</v>
      </c>
      <c r="Z5" s="12">
        <f>'Model inputs'!L23+'Model inputs'!L16-'Model inputs'!L13</f>
        <v>90</v>
      </c>
      <c r="AA5" s="12">
        <f>'Model inputs'!L25+'Model inputs'!L18-'Model inputs'!L15</f>
        <v>30.000000000000004</v>
      </c>
      <c r="AB5" s="12">
        <f>'Model inputs'!L24+'Model inputs'!L17-'Model inputs'!L14</f>
        <v>194.99999999999997</v>
      </c>
      <c r="AC5" s="12">
        <f>'Model inputs'!M23+'Model inputs'!M16-'Model inputs'!M13</f>
        <v>100</v>
      </c>
      <c r="AD5" s="12">
        <f>'Model inputs'!M25+'Model inputs'!M18-'Model inputs'!M15</f>
        <v>33.33333333333334</v>
      </c>
      <c r="AE5" s="12">
        <f>'Model inputs'!M24+'Model inputs'!M17-'Model inputs'!M14</f>
        <v>216.66666666666666</v>
      </c>
      <c r="AF5" s="12">
        <f>'Model inputs'!N23+'Model inputs'!N16-'Model inputs'!N13</f>
        <v>110</v>
      </c>
      <c r="AG5" s="12">
        <f>'Model inputs'!N25+'Model inputs'!N18-'Model inputs'!N15</f>
        <v>36.66666666666667</v>
      </c>
      <c r="AH5" s="12">
        <f>'Model inputs'!N24+'Model inputs'!N17-'Model inputs'!N14</f>
        <v>238.33333333333334</v>
      </c>
      <c r="AI5" s="12">
        <f>'Model inputs'!O23+'Model inputs'!O16-'Model inputs'!O13</f>
        <v>120</v>
      </c>
      <c r="AJ5" s="12">
        <f>'Model inputs'!O25+'Model inputs'!O18-'Model inputs'!O15</f>
        <v>40.00000000000001</v>
      </c>
      <c r="AK5" s="12">
        <f>'Model inputs'!O24+'Model inputs'!O17-'Model inputs'!O14</f>
        <v>260</v>
      </c>
    </row>
    <row r="6">
      <c r="A6" t="inlineStr" s="7">
        <is>
          <t xml:space="preserve">TenantGuard revenue</t>
        </is>
      </c>
      <c r="B6" s="10">
        <f>'TenantGuard three-case revenue'!B5*'TenantGuard inputs'!B6</f>
        <v>6500</v>
      </c>
      <c r="C6" s="10">
        <f>'TenantGuard three-case revenue'!C5*'Model inputs'!C9</f>
        <v>1500</v>
      </c>
      <c r="D6" s="10">
        <f>'TenantGuard three-case revenue'!D5*'Model inputs'!C8</f>
        <v>18416.666666666668</v>
      </c>
      <c r="E6" s="10">
        <f>'TenantGuard three-case revenue'!E5*'TenantGuard inputs'!B6</f>
        <v>13000</v>
      </c>
      <c r="F6" s="10">
        <f>'TenantGuard three-case revenue'!F5*'Model inputs'!C9</f>
        <v>3000</v>
      </c>
      <c r="G6" s="10">
        <f>'TenantGuard three-case revenue'!G5*'Model inputs'!C8</f>
        <v>36833.33333333333</v>
      </c>
      <c r="H6" s="10">
        <f>'TenantGuard three-case revenue'!H5*'TenantGuard inputs'!B6</f>
        <v>19500</v>
      </c>
      <c r="I6" s="10">
        <f>'TenantGuard three-case revenue'!I5*'Model inputs'!C9</f>
        <v>4500</v>
      </c>
      <c r="J6" s="10">
        <f>'TenantGuard three-case revenue'!J5*'Model inputs'!C8</f>
        <v>55250</v>
      </c>
      <c r="K6" s="10">
        <f>'TenantGuard three-case revenue'!K5*'TenantGuard inputs'!B6</f>
        <v>26000</v>
      </c>
      <c r="L6" s="10">
        <f>'TenantGuard three-case revenue'!L5*'Model inputs'!C9</f>
        <v>6000</v>
      </c>
      <c r="M6" s="10">
        <f>'TenantGuard three-case revenue'!M5*'Model inputs'!C8</f>
        <v>73666.66666666666</v>
      </c>
      <c r="N6" s="10">
        <f>'TenantGuard three-case revenue'!N5*'TenantGuard inputs'!B6</f>
        <v>32500</v>
      </c>
      <c r="O6" s="10">
        <f>'TenantGuard three-case revenue'!O5*'Model inputs'!C9</f>
        <v>7500.000000000001</v>
      </c>
      <c r="P6" s="10">
        <f>'TenantGuard three-case revenue'!P5*'Model inputs'!C8</f>
        <v>92083.33333333333</v>
      </c>
      <c r="Q6" s="10">
        <f>'TenantGuard three-case revenue'!Q5*'TenantGuard inputs'!B6</f>
        <v>39000</v>
      </c>
      <c r="R6" s="10">
        <f>'TenantGuard three-case revenue'!R5*'Model inputs'!C9</f>
        <v>9000</v>
      </c>
      <c r="S6" s="10">
        <f>'TenantGuard three-case revenue'!S5*'Model inputs'!C8</f>
        <v>110499.99999999997</v>
      </c>
      <c r="T6" s="10">
        <f>'TenantGuard three-case revenue'!T5*'TenantGuard inputs'!B6</f>
        <v>45500</v>
      </c>
      <c r="U6" s="10">
        <f>'TenantGuard three-case revenue'!U5*'Model inputs'!C9</f>
        <v>10500.000000000002</v>
      </c>
      <c r="V6" s="10">
        <f>'TenantGuard three-case revenue'!V5*'Model inputs'!C8</f>
        <v>128916.66666666663</v>
      </c>
      <c r="W6" s="10">
        <f>'TenantGuard three-case revenue'!W5*'TenantGuard inputs'!B6</f>
        <v>52000</v>
      </c>
      <c r="X6" s="10">
        <f>'TenantGuard three-case revenue'!X5*'Model inputs'!C9</f>
        <v>12000</v>
      </c>
      <c r="Y6" s="10">
        <f>'TenantGuard three-case revenue'!Y5*'Model inputs'!C8</f>
        <v>147333.33333333328</v>
      </c>
      <c r="Z6" s="10">
        <f>'TenantGuard three-case revenue'!Z5*'TenantGuard inputs'!B6</f>
        <v>58500</v>
      </c>
      <c r="AA6" s="10">
        <f>'TenantGuard three-case revenue'!AA5*'Model inputs'!C9</f>
        <v>13500.000000000002</v>
      </c>
      <c r="AB6" s="10">
        <f>'TenantGuard three-case revenue'!AB5*'Model inputs'!C8</f>
        <v>165749.99999999997</v>
      </c>
      <c r="AC6" s="10">
        <f>'TenantGuard three-case revenue'!AC5*'TenantGuard inputs'!B6</f>
        <v>65000</v>
      </c>
      <c r="AD6" s="10">
        <f>'TenantGuard three-case revenue'!AD5*'Model inputs'!C9</f>
        <v>15000.000000000004</v>
      </c>
      <c r="AE6" s="10">
        <f>'TenantGuard three-case revenue'!AE5*'Model inputs'!C8</f>
        <v>184166.66666666666</v>
      </c>
      <c r="AF6" s="10">
        <f>'TenantGuard three-case revenue'!AF5*'TenantGuard inputs'!B6</f>
        <v>71500</v>
      </c>
      <c r="AG6" s="10">
        <f>'TenantGuard three-case revenue'!AG5*'Model inputs'!C9</f>
        <v>16500.000000000004</v>
      </c>
      <c r="AH6" s="10">
        <f>'TenantGuard three-case revenue'!AH5*'Model inputs'!C8</f>
        <v>202583.33333333334</v>
      </c>
      <c r="AI6" s="10">
        <f>'TenantGuard three-case revenue'!AI5*'TenantGuard inputs'!B6</f>
        <v>78000</v>
      </c>
      <c r="AJ6" s="10">
        <f>'TenantGuard three-case revenue'!AJ5*'Model inputs'!C9</f>
        <v>18000.000000000004</v>
      </c>
      <c r="AK6" s="10">
        <f>'TenantGuard three-case revenue'!AK5*'Model inputs'!C8</f>
        <v>221000</v>
      </c>
    </row>
    <row r="7">
      <c r="A7" t="inlineStr" s="7">
        <is>
          <t xml:space="preserve">Compute gross margin</t>
        </is>
      </c>
      <c r="B7" s="9">
        <f>IFERROR('Model inputs'!D10/'TenantGuard three-case revenue'!B6,"")</f>
        <v>0.9934615384615385</v>
      </c>
      <c r="C7" s="9">
        <f>IFERROR('Model inputs'!D12/'TenantGuard three-case revenue'!C6,"")</f>
        <v>0.9877777777777779</v>
      </c>
      <c r="D7" s="9">
        <f>IFERROR('Model inputs'!D11/'TenantGuard three-case revenue'!D6,"")</f>
        <v>0.9952941176470588</v>
      </c>
      <c r="E7" s="9">
        <f>IFERROR('Model inputs'!E10/'TenantGuard three-case revenue'!E6,"")</f>
        <v>0.9934615384615385</v>
      </c>
      <c r="F7" s="9">
        <f>IFERROR('Model inputs'!E12/'TenantGuard three-case revenue'!F6,"")</f>
        <v>0.9877777777777779</v>
      </c>
      <c r="G7" s="9">
        <f>IFERROR('Model inputs'!E11/'TenantGuard three-case revenue'!G6,"")</f>
        <v>0.9952941176470588</v>
      </c>
      <c r="H7" s="9">
        <f>IFERROR('Model inputs'!F10/'TenantGuard three-case revenue'!H6,"")</f>
        <v>0.9934615384615385</v>
      </c>
      <c r="I7" s="9">
        <f>IFERROR('Model inputs'!F12/'TenantGuard three-case revenue'!I6,"")</f>
        <v>0.9877777777777778</v>
      </c>
      <c r="J7" s="9">
        <f>IFERROR('Model inputs'!F11/'TenantGuard three-case revenue'!J6,"")</f>
        <v>0.9952941176470588</v>
      </c>
      <c r="K7" s="9">
        <f>IFERROR('Model inputs'!G10/'TenantGuard three-case revenue'!K6,"")</f>
        <v>0.9934615384615385</v>
      </c>
      <c r="L7" s="9">
        <f>IFERROR('Model inputs'!G12/'TenantGuard three-case revenue'!L6,"")</f>
        <v>0.9877777777777779</v>
      </c>
      <c r="M7" s="9">
        <f>IFERROR('Model inputs'!G11/'TenantGuard three-case revenue'!M6,"")</f>
        <v>0.9952941176470588</v>
      </c>
      <c r="N7" s="9">
        <f>IFERROR('Model inputs'!H10/'TenantGuard three-case revenue'!N6,"")</f>
        <v>0.9934615384615385</v>
      </c>
      <c r="O7" s="9">
        <f>IFERROR('Model inputs'!H12/'TenantGuard three-case revenue'!O6,"")</f>
        <v>0.9877777777777778</v>
      </c>
      <c r="P7" s="9">
        <f>IFERROR('Model inputs'!H11/'TenantGuard three-case revenue'!P6,"")</f>
        <v>0.9952941176470589</v>
      </c>
      <c r="Q7" s="9">
        <f>IFERROR('Model inputs'!I10/'TenantGuard three-case revenue'!Q6,"")</f>
        <v>0.9934615384615385</v>
      </c>
      <c r="R7" s="9">
        <f>IFERROR('Model inputs'!I12/'TenantGuard three-case revenue'!R6,"")</f>
        <v>0.9877777777777778</v>
      </c>
      <c r="S7" s="9">
        <f>IFERROR('Model inputs'!I11/'TenantGuard three-case revenue'!S6,"")</f>
        <v>0.9952941176470588</v>
      </c>
      <c r="T7" s="9">
        <f>IFERROR('Model inputs'!J10/'TenantGuard three-case revenue'!T6,"")</f>
        <v>0.9934615384615385</v>
      </c>
      <c r="U7" s="9">
        <f>IFERROR('Model inputs'!J12/'TenantGuard three-case revenue'!U6,"")</f>
        <v>0.9877777777777778</v>
      </c>
      <c r="V7" s="9">
        <f>IFERROR('Model inputs'!J11/'TenantGuard three-case revenue'!V6,"")</f>
        <v>0.9952941176470588</v>
      </c>
      <c r="W7" s="9">
        <f>IFERROR('Model inputs'!K10/'TenantGuard three-case revenue'!W6,"")</f>
        <v>0.9934615384615385</v>
      </c>
      <c r="X7" s="9">
        <f>IFERROR('Model inputs'!K12/'TenantGuard three-case revenue'!X6,"")</f>
        <v>0.9877777777777779</v>
      </c>
      <c r="Y7" s="9">
        <f>IFERROR('Model inputs'!K11/'TenantGuard three-case revenue'!Y6,"")</f>
        <v>0.9952941176470588</v>
      </c>
      <c r="Z7" s="9">
        <f>IFERROR('Model inputs'!L10/'TenantGuard three-case revenue'!Z6,"")</f>
        <v>0.9934615384615385</v>
      </c>
      <c r="AA7" s="9">
        <f>IFERROR('Model inputs'!L12/'TenantGuard three-case revenue'!AA6,"")</f>
        <v>0.9877777777777778</v>
      </c>
      <c r="AB7" s="9">
        <f>IFERROR('Model inputs'!L11/'TenantGuard three-case revenue'!AB6,"")</f>
        <v>0.9952941176470588</v>
      </c>
      <c r="AC7" s="9">
        <f>IFERROR('Model inputs'!M10/'TenantGuard three-case revenue'!AC6,"")</f>
        <v>0.9934615384615385</v>
      </c>
      <c r="AD7" s="9">
        <f>IFERROR('Model inputs'!M12/'TenantGuard three-case revenue'!AD6,"")</f>
        <v>0.9877777777777778</v>
      </c>
      <c r="AE7" s="9">
        <f>IFERROR('Model inputs'!M11/'TenantGuard three-case revenue'!AE6,"")</f>
        <v>0.9952941176470589</v>
      </c>
      <c r="AF7" s="9">
        <f>IFERROR('Model inputs'!N10/'TenantGuard three-case revenue'!AF6,"")</f>
        <v>0.9934615384615385</v>
      </c>
      <c r="AG7" s="9">
        <f>IFERROR('Model inputs'!N12/'TenantGuard three-case revenue'!AG6,"")</f>
        <v>0.9877777777777779</v>
      </c>
      <c r="AH7" s="9">
        <f>IFERROR('Model inputs'!N11/'TenantGuard three-case revenue'!AH6,"")</f>
        <v>0.9952941176470588</v>
      </c>
      <c r="AI7" s="9">
        <f>IFERROR('Model inputs'!O10/'TenantGuard three-case revenue'!AI6,"")</f>
        <v>0.9934615384615385</v>
      </c>
      <c r="AJ7" s="9">
        <f>IFERROR('Model inputs'!O12/'TenantGuard three-case revenue'!AJ6,"")</f>
        <v>0.9877777777777778</v>
      </c>
      <c r="AK7" s="9">
        <f>IFERROR('Model inputs'!O11/'TenantGuard three-case revenue'!AK6,"")</f>
        <v>0.9952941176470588</v>
      </c>
    </row>
    <row r="8">
      <c r="A8" t="inlineStr" s="5">
        <is>
          <t xml:space="preserve">TenantGuard ending cash</t>
        </is>
      </c>
      <c r="B8" s="14">
        <f>IF(IF(DATE(2026,10,1)=DATE(2026,10,1),IF('TenantGuard inputs'!B13="","",'TenantGuard inputs'!B13),IF('Model inputs'!X26="","",'Model inputs'!X26))="",0,IF(DATE(2026,10,1)=DATE(2026,10,1),IF('TenantGuard inputs'!B13="","",'TenantGuard inputs'!B13),IF('Model inputs'!X26="","",'Model inputs'!X26)))+'Model inputs'!D29</f>
        <v>856457.5</v>
      </c>
      <c r="C8" s="14">
        <f>IF(IF(DATE(2026,10,1)=DATE(2026,10,1),IF('Model inputs'!C22="","",'Model inputs'!C22),IF('Model inputs'!X28="","",'Model inputs'!X28))="",0,IF(DATE(2026,10,1)=DATE(2026,10,1),IF('Model inputs'!C22="","",'Model inputs'!C22),IF('Model inputs'!X28="","",'Model inputs'!X28)))+'Model inputs'!D31</f>
        <v>851481.6666666666</v>
      </c>
      <c r="D8" s="14">
        <f>IF(IF(DATE(2026,10,1)=DATE(2026,10,1),IF('Model inputs'!C21="","",'Model inputs'!C21),IF('Model inputs'!X27="","",'Model inputs'!X27))="",0,IF(DATE(2026,10,1)=DATE(2026,10,1),IF('Model inputs'!C21="","",'Model inputs'!C21),IF('Model inputs'!X27="","",'Model inputs'!X27)))+'Model inputs'!D30</f>
        <v>868330</v>
      </c>
      <c r="E8" s="14">
        <f>IF(IF(DATE(2026,11,1)=DATE(2026,10,1),IF('TenantGuard inputs'!B13="","",'TenantGuard inputs'!B13),IF('TenantGuard three-case revenue'!B8="","",'TenantGuard three-case revenue'!B8))="",0,IF(DATE(2026,11,1)=DATE(2026,10,1),IF('TenantGuard inputs'!B13="","",'TenantGuard inputs'!B13),IF('TenantGuard three-case revenue'!B8="","",'TenantGuard three-case revenue'!B8)))+'Model inputs'!E29</f>
        <v>819372.5</v>
      </c>
      <c r="F8" s="14">
        <f>IF(IF(DATE(2026,11,1)=DATE(2026,10,1),IF('Model inputs'!C22="","",'Model inputs'!C22),IF('TenantGuard three-case revenue'!C8="","",'TenantGuard three-case revenue'!C8))="",0,IF(DATE(2026,11,1)=DATE(2026,10,1),IF('Model inputs'!C22="","",'Model inputs'!C22),IF('TenantGuard three-case revenue'!C8="","",'TenantGuard three-case revenue'!C8)))+'Model inputs'!E31</f>
        <v>804445</v>
      </c>
      <c r="G8" s="14">
        <f>IF(IF(DATE(2026,11,1)=DATE(2026,10,1),IF('Model inputs'!C21="","",'Model inputs'!C21),IF('TenantGuard three-case revenue'!D8="","",'TenantGuard three-case revenue'!D8))="",0,IF(DATE(2026,11,1)=DATE(2026,10,1),IF('Model inputs'!C21="","",'Model inputs'!C21),IF('TenantGuard three-case revenue'!D8="","",'TenantGuard three-case revenue'!D8)))+'Model inputs'!E30</f>
        <v>854990</v>
      </c>
      <c r="H8" s="14">
        <f>IF(IF(DATE(2026,12,1)=DATE(2026,10,1),IF('TenantGuard inputs'!B13="","",'TenantGuard inputs'!B13),IF('TenantGuard three-case revenue'!E8="","",'TenantGuard three-case revenue'!E8))="",0,IF(DATE(2026,12,1)=DATE(2026,10,1),IF('TenantGuard inputs'!B13="","",'TenantGuard inputs'!B13),IF('TenantGuard three-case revenue'!E8="","",'TenantGuard three-case revenue'!E8)))+'Model inputs'!F29</f>
        <v>788745</v>
      </c>
      <c r="I8" s="14">
        <f>IF(IF(DATE(2026,12,1)=DATE(2026,10,1),IF('Model inputs'!C22="","",'Model inputs'!C22),IF('TenantGuard three-case revenue'!F8="","",'TenantGuard three-case revenue'!F8))="",0,IF(DATE(2026,12,1)=DATE(2026,10,1),IF('Model inputs'!C22="","",'Model inputs'!C22),IF('TenantGuard three-case revenue'!F8="","",'TenantGuard three-case revenue'!F8)))+'Model inputs'!F31</f>
        <v>758890</v>
      </c>
      <c r="J8" s="14">
        <f>IF(IF(DATE(2026,12,1)=DATE(2026,10,1),IF('Model inputs'!C21="","",'Model inputs'!C21),IF('TenantGuard three-case revenue'!G8="","",'TenantGuard three-case revenue'!G8))="",0,IF(DATE(2026,12,1)=DATE(2026,10,1),IF('Model inputs'!C21="","",'Model inputs'!C21),IF('TenantGuard three-case revenue'!G8="","",'TenantGuard three-case revenue'!G8)))+'Model inputs'!F30</f>
        <v>859980</v>
      </c>
      <c r="K8" s="14">
        <f>IF(IF(DATE(2027,1,1)=DATE(2026,10,1),IF('TenantGuard inputs'!B13="","",'TenantGuard inputs'!B13),IF('TenantGuard three-case revenue'!H8="","",'TenantGuard three-case revenue'!H8))="",0,IF(DATE(2027,1,1)=DATE(2026,10,1),IF('TenantGuard inputs'!B13="","",'TenantGuard inputs'!B13),IF('TenantGuard three-case revenue'!H8="","",'TenantGuard three-case revenue'!H8)))+'Model inputs'!G29</f>
        <v>764575</v>
      </c>
      <c r="L8" s="14">
        <f>IF(IF(DATE(2027,1,1)=DATE(2026,10,1),IF('Model inputs'!C22="","",'Model inputs'!C22),IF('TenantGuard three-case revenue'!I8="","",'TenantGuard three-case revenue'!I8))="",0,IF(DATE(2027,1,1)=DATE(2026,10,1),IF('Model inputs'!C22="","",'Model inputs'!C22),IF('TenantGuard three-case revenue'!I8="","",'TenantGuard three-case revenue'!I8)))+'Model inputs'!G31</f>
        <v>714816.6666666666</v>
      </c>
      <c r="M8" s="14">
        <f>IF(IF(DATE(2027,1,1)=DATE(2026,10,1),IF('Model inputs'!C21="","",'Model inputs'!C21),IF('TenantGuard three-case revenue'!J8="","",'TenantGuard three-case revenue'!J8))="",0,IF(DATE(2027,1,1)=DATE(2026,10,1),IF('Model inputs'!C21="","",'Model inputs'!C21),IF('TenantGuard three-case revenue'!J8="","",'TenantGuard three-case revenue'!J8)))+'Model inputs'!G30</f>
        <v>883300</v>
      </c>
      <c r="N8" s="14">
        <f>IF(IF(DATE(2027,2,1)=DATE(2026,10,1),IF('TenantGuard inputs'!B13="","",'TenantGuard inputs'!B13),IF('TenantGuard three-case revenue'!K8="","",'TenantGuard three-case revenue'!K8))="",0,IF(DATE(2027,2,1)=DATE(2026,10,1),IF('TenantGuard inputs'!B13="","",'TenantGuard inputs'!B13),IF('TenantGuard three-case revenue'!K8="","",'TenantGuard three-case revenue'!K8)))+'Model inputs'!H29</f>
        <v>746862.5</v>
      </c>
      <c r="O8" s="14">
        <f>IF(IF(DATE(2027,2,1)=DATE(2026,10,1),IF('Model inputs'!C22="","",'Model inputs'!C22),IF('TenantGuard three-case revenue'!L8="","",'TenantGuard three-case revenue'!L8))="",0,IF(DATE(2027,2,1)=DATE(2026,10,1),IF('Model inputs'!C22="","",'Model inputs'!C22),IF('TenantGuard three-case revenue'!L8="","",'TenantGuard three-case revenue'!L8)))+'Model inputs'!H31</f>
        <v>672225</v>
      </c>
      <c r="P8" s="14">
        <f>IF(IF(DATE(2027,2,1)=DATE(2026,10,1),IF('Model inputs'!C21="","",'Model inputs'!C21),IF('TenantGuard three-case revenue'!M8="","",'TenantGuard three-case revenue'!M8))="",0,IF(DATE(2027,2,1)=DATE(2026,10,1),IF('Model inputs'!C21="","",'Model inputs'!C21),IF('TenantGuard three-case revenue'!M8="","",'TenantGuard three-case revenue'!M8)))+'Model inputs'!H30</f>
        <v>924950</v>
      </c>
      <c r="Q8" s="14">
        <f>IF(IF(DATE(2027,3,1)=DATE(2026,10,1),IF('TenantGuard inputs'!B13="","",'TenantGuard inputs'!B13),IF('TenantGuard three-case revenue'!N8="","",'TenantGuard three-case revenue'!N8))="",0,IF(DATE(2027,3,1)=DATE(2026,10,1),IF('TenantGuard inputs'!B13="","",'TenantGuard inputs'!B13),IF('TenantGuard three-case revenue'!N8="","",'TenantGuard three-case revenue'!N8)))+'Model inputs'!I29</f>
        <v>735607.5</v>
      </c>
      <c r="R8" s="14">
        <f>IF(IF(DATE(2027,3,1)=DATE(2026,10,1),IF('Model inputs'!C22="","",'Model inputs'!C22),IF('TenantGuard three-case revenue'!O8="","",'TenantGuard three-case revenue'!O8))="",0,IF(DATE(2027,3,1)=DATE(2026,10,1),IF('Model inputs'!C22="","",'Model inputs'!C22),IF('TenantGuard three-case revenue'!O8="","",'TenantGuard three-case revenue'!O8)))+'Model inputs'!I31</f>
        <v>631115</v>
      </c>
      <c r="S8" s="14">
        <f>IF(IF(DATE(2027,3,1)=DATE(2026,10,1),IF('Model inputs'!C21="","",'Model inputs'!C21),IF('TenantGuard three-case revenue'!P8="","",'TenantGuard three-case revenue'!P8))="",0,IF(DATE(2027,3,1)=DATE(2026,10,1),IF('Model inputs'!C21="","",'Model inputs'!C21),IF('TenantGuard three-case revenue'!P8="","",'TenantGuard three-case revenue'!P8)))+'Model inputs'!I30</f>
        <v>984930</v>
      </c>
      <c r="T8" s="14">
        <f>IF(IF(DATE(2027,4,1)=DATE(2026,10,1),IF('TenantGuard inputs'!B13="","",'TenantGuard inputs'!B13),IF('TenantGuard three-case revenue'!Q8="","",'TenantGuard three-case revenue'!Q8))="",0,IF(DATE(2027,4,1)=DATE(2026,10,1),IF('TenantGuard inputs'!B13="","",'TenantGuard inputs'!B13),IF('TenantGuard three-case revenue'!Q8="","",'TenantGuard three-case revenue'!Q8)))+'Model inputs'!J29</f>
        <v>730810</v>
      </c>
      <c r="U8" s="14">
        <f>IF(IF(DATE(2027,4,1)=DATE(2026,10,1),IF('Model inputs'!C22="","",'Model inputs'!C22),IF('TenantGuard three-case revenue'!R8="","",'TenantGuard three-case revenue'!R8))="",0,IF(DATE(2027,4,1)=DATE(2026,10,1),IF('Model inputs'!C22="","",'Model inputs'!C22),IF('TenantGuard three-case revenue'!R8="","",'TenantGuard three-case revenue'!R8)))+'Model inputs'!J31</f>
        <v>591486.6666666666</v>
      </c>
      <c r="V8" s="14">
        <f>IF(IF(DATE(2027,4,1)=DATE(2026,10,1),IF('Model inputs'!C21="","",'Model inputs'!C21),IF('TenantGuard three-case revenue'!S8="","",'TenantGuard three-case revenue'!S8))="",0,IF(DATE(2027,4,1)=DATE(2026,10,1),IF('Model inputs'!C21="","",'Model inputs'!C21),IF('TenantGuard three-case revenue'!S8="","",'TenantGuard three-case revenue'!S8)))+'Model inputs'!J30</f>
        <v>1063240</v>
      </c>
      <c r="W8" s="14">
        <f>IF(IF(DATE(2027,5,1)=DATE(2026,10,1),IF('TenantGuard inputs'!B13="","",'TenantGuard inputs'!B13),IF('TenantGuard three-case revenue'!T8="","",'TenantGuard three-case revenue'!T8))="",0,IF(DATE(2027,5,1)=DATE(2026,10,1),IF('TenantGuard inputs'!B13="","",'TenantGuard inputs'!B13),IF('TenantGuard three-case revenue'!T8="","",'TenantGuard three-case revenue'!T8)))+'Model inputs'!K29</f>
        <v>732470</v>
      </c>
      <c r="X8" s="14">
        <f>IF(IF(DATE(2027,5,1)=DATE(2026,10,1),IF('Model inputs'!C22="","",'Model inputs'!C22),IF('TenantGuard three-case revenue'!U8="","",'TenantGuard three-case revenue'!U8))="",0,IF(DATE(2027,5,1)=DATE(2026,10,1),IF('Model inputs'!C22="","",'Model inputs'!C22),IF('TenantGuard three-case revenue'!U8="","",'TenantGuard three-case revenue'!U8)))+'Model inputs'!K31</f>
        <v>553340</v>
      </c>
      <c r="Y8" s="14">
        <f>IF(IF(DATE(2027,5,1)=DATE(2026,10,1),IF('Model inputs'!C21="","",'Model inputs'!C21),IF('TenantGuard three-case revenue'!V8="","",'TenantGuard three-case revenue'!V8))="",0,IF(DATE(2027,5,1)=DATE(2026,10,1),IF('Model inputs'!C21="","",'Model inputs'!C21),IF('TenantGuard three-case revenue'!V8="","",'TenantGuard three-case revenue'!V8)))+'Model inputs'!K30</f>
        <v>1159880</v>
      </c>
      <c r="Z8" s="14">
        <f>IF(IF(DATE(2027,6,1)=DATE(2026,10,1),IF('TenantGuard inputs'!B13="","",'TenantGuard inputs'!B13),IF('TenantGuard three-case revenue'!W8="","",'TenantGuard three-case revenue'!W8))="",0,IF(DATE(2027,6,1)=DATE(2026,10,1),IF('TenantGuard inputs'!B13="","",'TenantGuard inputs'!B13),IF('TenantGuard three-case revenue'!W8="","",'TenantGuard three-case revenue'!W8)))+'Model inputs'!L29</f>
        <v>740587.5</v>
      </c>
      <c r="AA8" s="14">
        <f>IF(IF(DATE(2027,6,1)=DATE(2026,10,1),IF('Model inputs'!C22="","",'Model inputs'!C22),IF('TenantGuard three-case revenue'!X8="","",'TenantGuard three-case revenue'!X8))="",0,IF(DATE(2027,6,1)=DATE(2026,10,1),IF('Model inputs'!C22="","",'Model inputs'!C22),IF('TenantGuard three-case revenue'!X8="","",'TenantGuard three-case revenue'!X8)))+'Model inputs'!L31</f>
        <v>516675</v>
      </c>
      <c r="AB8" s="14">
        <f>IF(IF(DATE(2027,6,1)=DATE(2026,10,1),IF('Model inputs'!C21="","",'Model inputs'!C21),IF('TenantGuard three-case revenue'!Y8="","",'TenantGuard three-case revenue'!Y8))="",0,IF(DATE(2027,6,1)=DATE(2026,10,1),IF('Model inputs'!C21="","",'Model inputs'!C21),IF('TenantGuard three-case revenue'!Y8="","",'TenantGuard three-case revenue'!Y8)))+'Model inputs'!L30</f>
        <v>1274850</v>
      </c>
      <c r="AC8" s="14">
        <f>IF(IF(DATE(2027,7,1)=DATE(2026,10,1),IF('TenantGuard inputs'!B13="","",'TenantGuard inputs'!B13),IF('TenantGuard three-case revenue'!Z8="","",'TenantGuard three-case revenue'!Z8))="",0,IF(DATE(2027,7,1)=DATE(2026,10,1),IF('TenantGuard inputs'!B13="","",'TenantGuard inputs'!B13),IF('TenantGuard three-case revenue'!Z8="","",'TenantGuard three-case revenue'!Z8)))+'Model inputs'!M29</f>
        <v>755162.5</v>
      </c>
      <c r="AD8" s="14">
        <f>IF(IF(DATE(2027,7,1)=DATE(2026,10,1),IF('Model inputs'!C22="","",'Model inputs'!C22),IF('TenantGuard three-case revenue'!AA8="","",'TenantGuard three-case revenue'!AA8))="",0,IF(DATE(2027,7,1)=DATE(2026,10,1),IF('Model inputs'!C22="","",'Model inputs'!C22),IF('TenantGuard three-case revenue'!AA8="","",'TenantGuard three-case revenue'!AA8)))+'Model inputs'!M31</f>
        <v>481491.6666666667</v>
      </c>
      <c r="AE8" s="14">
        <f>IF(IF(DATE(2027,7,1)=DATE(2026,10,1),IF('Model inputs'!C21="","",'Model inputs'!C21),IF('TenantGuard three-case revenue'!AB8="","",'TenantGuard three-case revenue'!AB8))="",0,IF(DATE(2027,7,1)=DATE(2026,10,1),IF('Model inputs'!C21="","",'Model inputs'!C21),IF('TenantGuard three-case revenue'!AB8="","",'TenantGuard three-case revenue'!AB8)))+'Model inputs'!M30</f>
        <v>1408150</v>
      </c>
      <c r="AF8" s="14">
        <f>IF(IF(DATE(2027,8,1)=DATE(2026,10,1),IF('TenantGuard inputs'!B13="","",'TenantGuard inputs'!B13),IF('TenantGuard three-case revenue'!AC8="","",'TenantGuard three-case revenue'!AC8))="",0,IF(DATE(2027,8,1)=DATE(2026,10,1),IF('TenantGuard inputs'!B13="","",'TenantGuard inputs'!B13),IF('TenantGuard three-case revenue'!AC8="","",'TenantGuard three-case revenue'!AC8)))+'Model inputs'!N29</f>
        <v>776195</v>
      </c>
      <c r="AG8" s="14">
        <f>IF(IF(DATE(2027,8,1)=DATE(2026,10,1),IF('Model inputs'!C22="","",'Model inputs'!C22),IF('TenantGuard three-case revenue'!AD8="","",'TenantGuard three-case revenue'!AD8))="",0,IF(DATE(2027,8,1)=DATE(2026,10,1),IF('Model inputs'!C22="","",'Model inputs'!C22),IF('TenantGuard three-case revenue'!AD8="","",'TenantGuard three-case revenue'!AD8)))+'Model inputs'!N31</f>
        <v>447790</v>
      </c>
      <c r="AH8" s="14">
        <f>IF(IF(DATE(2027,8,1)=DATE(2026,10,1),IF('Model inputs'!C21="","",'Model inputs'!C21),IF('TenantGuard three-case revenue'!AE8="","",'TenantGuard three-case revenue'!AE8))="",0,IF(DATE(2027,8,1)=DATE(2026,10,1),IF('Model inputs'!C21="","",'Model inputs'!C21),IF('TenantGuard three-case revenue'!AE8="","",'TenantGuard three-case revenue'!AE8)))+'Model inputs'!N30</f>
        <v>1559780</v>
      </c>
      <c r="AI8" s="14">
        <f>IF(IF(DATE(2027,9,1)=DATE(2026,10,1),IF('TenantGuard inputs'!B13="","",'TenantGuard inputs'!B13),IF('TenantGuard three-case revenue'!AF8="","",'TenantGuard three-case revenue'!AF8))="",0,IF(DATE(2027,9,1)=DATE(2026,10,1),IF('TenantGuard inputs'!B13="","",'TenantGuard inputs'!B13),IF('TenantGuard three-case revenue'!AF8="","",'TenantGuard three-case revenue'!AF8)))+'Model inputs'!O29</f>
        <v>803685</v>
      </c>
      <c r="AJ8" s="14">
        <f>IF(IF(DATE(2027,9,1)=DATE(2026,10,1),IF('Model inputs'!C22="","",'Model inputs'!C22),IF('TenantGuard three-case revenue'!AG8="","",'TenantGuard three-case revenue'!AG8))="",0,IF(DATE(2027,9,1)=DATE(2026,10,1),IF('Model inputs'!C22="","",'Model inputs'!C22),IF('TenantGuard three-case revenue'!AG8="","",'TenantGuard three-case revenue'!AG8)))+'Model inputs'!O31</f>
        <v>415570</v>
      </c>
      <c r="AK8" s="14">
        <f>IF(IF(DATE(2027,9,1)=DATE(2026,10,1),IF('Model inputs'!C21="","",'Model inputs'!C21),IF('TenantGuard three-case revenue'!AH8="","",'TenantGuard three-case revenue'!AH8))="",0,IF(DATE(2027,9,1)=DATE(2026,10,1),IF('Model inputs'!C21="","",'Model inputs'!C21),IF('TenantGuard three-case revenue'!AH8="","",'TenantGuard three-case revenue'!AH8)))+'Model inputs'!O30</f>
        <v>1729740</v>
      </c>
    </row>
  </sheetData>
  <mergeCells count="1">
    <mergeCell ref="A1:AK1"/>
  </mergeCells>
</worksheet>
</file>

<file path=xl/worksheets/sheet3.xml><?xml version="1.0" encoding="utf-8"?>
<worksheet xmlns="http://schemas.openxmlformats.org/spreadsheetml/2006/main">
  <dimension ref="A1:B13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TenantGuard inputs</t>
        </is>
      </c>
    </row>
    <row r="2" ht="20" customHeight="1">
      <c r="A2" t="inlineStr" s="2">
        <is>
          <t xml:space="preserve">TenantGuard — Business Plan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Month 12 customers</t>
        </is>
      </c>
      <c r="B5" s="12">
        <f>120</f>
        <v>120</v>
      </c>
    </row>
    <row r="6">
      <c r="A6" t="inlineStr" s="7">
        <is>
          <t xml:space="preserve">Blended monthly ARPA</t>
        </is>
      </c>
      <c r="B6" s="10">
        <f>650</f>
        <v>650</v>
      </c>
    </row>
    <row r="7">
      <c r="A7" t="inlineStr" s="7">
        <is>
          <t xml:space="preserve">Attempts per completed fix</t>
        </is>
      </c>
      <c r="B7" s="8">
        <f>2.5</f>
        <v>2.5</v>
      </c>
    </row>
    <row r="8">
      <c r="A8" t="inlineStr" s="7">
        <is>
          <t xml:space="preserve">Fixes per customer per month</t>
        </is>
      </c>
      <c r="B8" s="8">
        <f>100</f>
        <v>100</v>
      </c>
    </row>
    <row r="9">
      <c r="A9" t="inlineStr" s="7">
        <is>
          <t xml:space="preserve">Token cost per attempt</t>
        </is>
      </c>
      <c r="B9" s="15">
        <f>0.005</f>
        <v>0.005</v>
      </c>
    </row>
    <row r="10">
      <c r="A10" t="inlineStr" s="7">
        <is>
          <t xml:space="preserve">Compute cost per completed fix</t>
        </is>
      </c>
      <c r="B10" s="16">
        <f>0.03</f>
        <v>0.03</v>
      </c>
    </row>
    <row r="11">
      <c r="A11" t="inlineStr" s="7">
        <is>
          <t xml:space="preserve">Monthly customer churn</t>
        </is>
      </c>
      <c r="B11" s="17">
        <f>0.01</f>
        <v>0.01</v>
      </c>
    </row>
    <row r="12">
      <c r="A12" t="inlineStr" s="7">
        <is>
          <t xml:space="preserve">Fixed monthly operating spend</t>
        </is>
      </c>
      <c r="B12" s="10">
        <f>50000</f>
        <v>50000</v>
      </c>
    </row>
    <row r="13">
      <c r="A13" t="inlineStr" s="5">
        <is>
          <t xml:space="preserve">Launch cash</t>
        </is>
      </c>
      <c r="B13" s="14">
        <f>900000</f>
        <v>900000</v>
      </c>
    </row>
  </sheetData>
  <mergeCells count="1">
    <mergeCell ref="A1:B1"/>
  </mergeCells>
</worksheet>
</file>

<file path=xl/worksheets/sheet4.xml><?xml version="1.0" encoding="utf-8"?>
<worksheet xmlns="http://schemas.openxmlformats.org/spreadsheetml/2006/main">
  <dimension ref="A1:B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TenantGuard launch settings</t>
        </is>
      </c>
    </row>
    <row r="2" ht="20" customHeight="1">
      <c r="A2" t="inlineStr" s="2">
        <is>
          <t xml:space="preserve">TenantGuard — Business Plan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Launch customers</t>
        </is>
      </c>
      <c r="B5" s="12">
        <f>0</f>
        <v>0</v>
      </c>
    </row>
    <row r="6">
      <c r="A6" t="inlineStr" s="5">
        <is>
          <t xml:space="preserve">Customer ramp months</t>
        </is>
      </c>
      <c r="B6" s="12">
        <f>12</f>
        <v>12</v>
      </c>
    </row>
  </sheetData>
  <mergeCells count="1">
    <mergeCell ref="A1:B1"/>
  </mergeCells>
</worksheet>
</file>

<file path=xl/worksheets/sheet5.xml><?xml version="1.0" encoding="utf-8"?>
<worksheet xmlns="http://schemas.openxmlformats.org/spreadsheetml/2006/main">
  <dimension ref="A1:AV90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19" customWidth="1"/>
    <col min="43" max="43" width="19" customWidth="1"/>
    <col min="44" max="44" width="19" customWidth="1"/>
    <col min="45" max="45" width="19" customWidth="1"/>
    <col min="46" max="46" width="19" customWidth="1"/>
    <col min="47" max="47" width="19" customWidth="1"/>
    <col min="48" max="48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8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  <c r="C5" t="inlineStr" s="4">
        <is>
          <t xml:space="preserve">Value</t>
        </is>
      </c>
      <c r="D5" t="inlineStr" s="13">
        <is>
          <t xml:space="preserve">2026-10</t>
        </is>
      </c>
      <c r="E5" t="inlineStr" s="4">
        <is>
          <t xml:space="preserve">2026-11</t>
        </is>
      </c>
      <c r="F5" t="inlineStr" s="4">
        <is>
          <t xml:space="preserve">2026-12</t>
        </is>
      </c>
      <c r="G5" t="inlineStr" s="13">
        <is>
          <t xml:space="preserve">2027-01</t>
        </is>
      </c>
      <c r="H5" t="inlineStr" s="4">
        <is>
          <t xml:space="preserve">2027-02</t>
        </is>
      </c>
      <c r="I5" t="inlineStr" s="4">
        <is>
          <t xml:space="preserve">2027-03</t>
        </is>
      </c>
      <c r="J5" t="inlineStr" s="13">
        <is>
          <t xml:space="preserve">2027-04</t>
        </is>
      </c>
      <c r="K5" t="inlineStr" s="4">
        <is>
          <t xml:space="preserve">2027-05</t>
        </is>
      </c>
      <c r="L5" t="inlineStr" s="4">
        <is>
          <t xml:space="preserve">2027-06</t>
        </is>
      </c>
      <c r="M5" t="inlineStr" s="13">
        <is>
          <t xml:space="preserve">2027-07</t>
        </is>
      </c>
      <c r="N5" t="inlineStr" s="4">
        <is>
          <t xml:space="preserve">2027-08</t>
        </is>
      </c>
      <c r="O5" t="inlineStr" s="4">
        <is>
          <t xml:space="preserve">2027-09</t>
        </is>
      </c>
      <c r="P5" t="inlineStr" s="13">
        <is>
          <t xml:space="preserve">2026-01</t>
        </is>
      </c>
      <c r="Q5" t="inlineStr" s="4">
        <is>
          <t xml:space="preserve">2026-02</t>
        </is>
      </c>
      <c r="R5" t="inlineStr" s="4">
        <is>
          <t xml:space="preserve">2026-03</t>
        </is>
      </c>
      <c r="S5" t="inlineStr" s="13">
        <is>
          <t xml:space="preserve">2026-04</t>
        </is>
      </c>
      <c r="T5" t="inlineStr" s="4">
        <is>
          <t xml:space="preserve">2026-05</t>
        </is>
      </c>
      <c r="U5" t="inlineStr" s="4">
        <is>
          <t xml:space="preserve">2026-06</t>
        </is>
      </c>
      <c r="V5" t="inlineStr" s="13">
        <is>
          <t xml:space="preserve">2026-07</t>
        </is>
      </c>
      <c r="W5" t="inlineStr" s="4">
        <is>
          <t xml:space="preserve">2026-08</t>
        </is>
      </c>
      <c r="X5" t="inlineStr" s="4">
        <is>
          <t xml:space="preserve">2026-09</t>
        </is>
      </c>
      <c r="Y5" t="inlineStr" s="13">
        <is>
          <t xml:space="preserve">2027-10</t>
        </is>
      </c>
      <c r="Z5" t="inlineStr" s="4">
        <is>
          <t xml:space="preserve">2027-11</t>
        </is>
      </c>
      <c r="AA5" t="inlineStr" s="4">
        <is>
          <t xml:space="preserve">2027-12</t>
        </is>
      </c>
      <c r="AB5" t="inlineStr" s="13">
        <is>
          <t xml:space="preserve">2028-01</t>
        </is>
      </c>
      <c r="AC5" t="inlineStr" s="4">
        <is>
          <t xml:space="preserve">2028-02</t>
        </is>
      </c>
      <c r="AD5" t="inlineStr" s="4">
        <is>
          <t xml:space="preserve">2028-03</t>
        </is>
      </c>
      <c r="AE5" t="inlineStr" s="13">
        <is>
          <t xml:space="preserve">2028-04</t>
        </is>
      </c>
      <c r="AF5" t="inlineStr" s="4">
        <is>
          <t xml:space="preserve">2028-05</t>
        </is>
      </c>
      <c r="AG5" t="inlineStr" s="4">
        <is>
          <t xml:space="preserve">2028-06</t>
        </is>
      </c>
      <c r="AH5" t="inlineStr" s="13">
        <is>
          <t xml:space="preserve">2028-07</t>
        </is>
      </c>
      <c r="AI5" t="inlineStr" s="4">
        <is>
          <t xml:space="preserve">2028-08</t>
        </is>
      </c>
      <c r="AJ5" t="inlineStr" s="4">
        <is>
          <t xml:space="preserve">2028-09</t>
        </is>
      </c>
      <c r="AK5" t="inlineStr" s="13">
        <is>
          <t xml:space="preserve">2028-10</t>
        </is>
      </c>
      <c r="AL5" t="inlineStr" s="4">
        <is>
          <t xml:space="preserve">2028-11</t>
        </is>
      </c>
      <c r="AM5" t="inlineStr" s="4">
        <is>
          <t xml:space="preserve">2028-12</t>
        </is>
      </c>
      <c r="AN5" t="inlineStr" s="13">
        <is>
          <t xml:space="preserve">2029-01</t>
        </is>
      </c>
      <c r="AO5" t="inlineStr" s="4">
        <is>
          <t xml:space="preserve">2029-02</t>
        </is>
      </c>
      <c r="AP5" t="inlineStr" s="4">
        <is>
          <t xml:space="preserve">2029-03</t>
        </is>
      </c>
      <c r="AQ5" t="inlineStr" s="13">
        <is>
          <t xml:space="preserve">2029-04</t>
        </is>
      </c>
      <c r="AR5" t="inlineStr" s="4">
        <is>
          <t xml:space="preserve">2029-05</t>
        </is>
      </c>
      <c r="AS5" t="inlineStr" s="4">
        <is>
          <t xml:space="preserve">2029-06</t>
        </is>
      </c>
      <c r="AT5" t="inlineStr" s="13">
        <is>
          <t xml:space="preserve">2029-07</t>
        </is>
      </c>
      <c r="AU5" t="inlineStr" s="4">
        <is>
          <t xml:space="preserve">2029-08</t>
        </is>
      </c>
      <c r="AV5" t="inlineStr" s="4">
        <is>
          <t xml:space="preserve">2029-09</t>
        </is>
      </c>
    </row>
    <row r="6">
      <c r="A6" t="inlineStr" s="19">
        <is>
          <t xml:space="preserve">Blended monthly ARPA · TenantGuard unit economics · Main Scenario</t>
        </is>
      </c>
      <c r="B6" s="10">
        <f>'TenantGuard inputs'!B6</f>
        <v>650</v>
      </c>
    </row>
    <row r="7">
      <c r="A7" t="inlineStr" s="19">
        <is>
          <t xml:space="preserve">Blended monthly ARPA · TenantGuard three-case revenue ramp · Main Scenario</t>
        </is>
      </c>
      <c r="C7" s="10">
        <f>'TenantGuard inputs'!B6</f>
        <v>650</v>
      </c>
    </row>
    <row r="8">
      <c r="A8" t="inlineStr" s="19">
        <is>
          <t xml:space="preserve">Blended monthly ARPA · TenantGuard — High</t>
        </is>
      </c>
      <c r="C8" s="10">
        <f>850</f>
        <v>850</v>
      </c>
    </row>
    <row r="9">
      <c r="A9" t="inlineStr" s="19">
        <is>
          <t xml:space="preserve">Blended monthly ARPA · TenantGuard — Low</t>
        </is>
      </c>
      <c r="C9" s="10">
        <f>450</f>
        <v>450</v>
      </c>
    </row>
    <row r="10">
      <c r="A10" t="inlineStr" s="19">
        <is>
          <t xml:space="preserve">Compute gross profit · Main Scenario</t>
        </is>
      </c>
      <c r="D10" s="10">
        <f>'Model inputs'!D32-'Model inputs'!D56</f>
        <v>6457.5</v>
      </c>
      <c r="E10" s="10">
        <f>'Model inputs'!E32-'Model inputs'!E56</f>
        <v>12915</v>
      </c>
      <c r="F10" s="10">
        <f>'Model inputs'!F32-'Model inputs'!F56</f>
        <v>19372.5</v>
      </c>
      <c r="G10" s="10">
        <f>'Model inputs'!G32-'Model inputs'!G56</f>
        <v>25830</v>
      </c>
      <c r="H10" s="10">
        <f>'Model inputs'!H32-'Model inputs'!H56</f>
        <v>32287.5</v>
      </c>
      <c r="I10" s="10">
        <f>'Model inputs'!I32-'Model inputs'!I56</f>
        <v>38745</v>
      </c>
      <c r="J10" s="10">
        <f>'Model inputs'!J32-'Model inputs'!J56</f>
        <v>45202.5</v>
      </c>
      <c r="K10" s="10">
        <f>'Model inputs'!K32-'Model inputs'!K56</f>
        <v>51660</v>
      </c>
      <c r="L10" s="10">
        <f>'Model inputs'!L32-'Model inputs'!L56</f>
        <v>58117.5</v>
      </c>
      <c r="M10" s="10">
        <f>'Model inputs'!M32-'Model inputs'!M56</f>
        <v>64575</v>
      </c>
      <c r="N10" s="10">
        <f>'Model inputs'!N32-'Model inputs'!N56</f>
        <v>71032.5</v>
      </c>
      <c r="O10" s="10">
        <f>'Model inputs'!O32-'Model inputs'!O56</f>
        <v>77490</v>
      </c>
    </row>
    <row r="11">
      <c r="A11" t="inlineStr" s="19">
        <is>
          <t xml:space="preserve">Compute gross profit · TenantGuard — High</t>
        </is>
      </c>
      <c r="D11" s="10">
        <f>'Model inputs'!D62-'Model inputs'!D57</f>
        <v>18330</v>
      </c>
      <c r="E11" s="10">
        <f>'Model inputs'!E62-'Model inputs'!E57</f>
        <v>36659.99999999999</v>
      </c>
      <c r="F11" s="10">
        <f>'Model inputs'!F62-'Model inputs'!F57</f>
        <v>54990</v>
      </c>
      <c r="G11" s="10">
        <f>'Model inputs'!G62-'Model inputs'!G57</f>
        <v>73319.99999999999</v>
      </c>
      <c r="H11" s="10">
        <f>'Model inputs'!H62-'Model inputs'!H57</f>
        <v>91650</v>
      </c>
      <c r="I11" s="10">
        <f>'Model inputs'!I62-'Model inputs'!I57</f>
        <v>109979.99999999997</v>
      </c>
      <c r="J11" s="10">
        <f>'Model inputs'!J62-'Model inputs'!J57</f>
        <v>128309.99999999996</v>
      </c>
      <c r="K11" s="10">
        <f>'Model inputs'!K62-'Model inputs'!K57</f>
        <v>146639.99999999994</v>
      </c>
      <c r="L11" s="10">
        <f>'Model inputs'!L62-'Model inputs'!L57</f>
        <v>164969.99999999997</v>
      </c>
      <c r="M11" s="10">
        <f>'Model inputs'!M62-'Model inputs'!M57</f>
        <v>183300</v>
      </c>
      <c r="N11" s="10">
        <f>'Model inputs'!N62-'Model inputs'!N57</f>
        <v>201630</v>
      </c>
      <c r="O11" s="10">
        <f>'Model inputs'!O62-'Model inputs'!O57</f>
        <v>219960</v>
      </c>
    </row>
    <row r="12">
      <c r="A12" t="inlineStr" s="19">
        <is>
          <t xml:space="preserve">Compute gross profit · TenantGuard — Low</t>
        </is>
      </c>
      <c r="D12" s="10">
        <f>'Model inputs'!D63-'Model inputs'!D58</f>
        <v>1481.6666666666667</v>
      </c>
      <c r="E12" s="10">
        <f>'Model inputs'!E63-'Model inputs'!E58</f>
        <v>2963.3333333333335</v>
      </c>
      <c r="F12" s="10">
        <f>'Model inputs'!F63-'Model inputs'!F58</f>
        <v>4445</v>
      </c>
      <c r="G12" s="10">
        <f>'Model inputs'!G63-'Model inputs'!G58</f>
        <v>5926.666666666667</v>
      </c>
      <c r="H12" s="10">
        <f>'Model inputs'!H63-'Model inputs'!H58</f>
        <v>7408.333333333334</v>
      </c>
      <c r="I12" s="10">
        <f>'Model inputs'!I63-'Model inputs'!I58</f>
        <v>8890</v>
      </c>
      <c r="J12" s="10">
        <f>'Model inputs'!J63-'Model inputs'!J58</f>
        <v>10371.666666666668</v>
      </c>
      <c r="K12" s="10">
        <f>'Model inputs'!K63-'Model inputs'!K58</f>
        <v>11853.333333333334</v>
      </c>
      <c r="L12" s="10">
        <f>'Model inputs'!L63-'Model inputs'!L58</f>
        <v>13335.000000000002</v>
      </c>
      <c r="M12" s="10">
        <f>'Model inputs'!M63-'Model inputs'!M58</f>
        <v>14816.66666666667</v>
      </c>
      <c r="N12" s="10">
        <f>'Model inputs'!N63-'Model inputs'!N58</f>
        <v>16298.333333333338</v>
      </c>
      <c r="O12" s="10">
        <f>'Model inputs'!O63-'Model inputs'!O58</f>
        <v>17780.000000000004</v>
      </c>
    </row>
    <row r="13">
      <c r="A13" t="inlineStr" s="19">
        <is>
          <t xml:space="preserve">Customer losses · TenantGuard three-case revenue ramp · Main Scenario</t>
        </is>
      </c>
      <c r="D13" s="8">
        <f>'Model inputs'!D23*'Model inputs'!C51</f>
        <v>0</v>
      </c>
      <c r="E13" s="8">
        <f>'Model inputs'!E23*'Model inputs'!C51</f>
        <v>0.1</v>
      </c>
      <c r="F13" s="8">
        <f>'Model inputs'!F23*'Model inputs'!C51</f>
        <v>0.2</v>
      </c>
      <c r="G13" s="8">
        <f>'Model inputs'!G23*'Model inputs'!C51</f>
        <v>0.3</v>
      </c>
      <c r="H13" s="8">
        <f>'Model inputs'!H23*'Model inputs'!C51</f>
        <v>0.4</v>
      </c>
      <c r="I13" s="8">
        <f>'Model inputs'!I23*'Model inputs'!C51</f>
        <v>0.5</v>
      </c>
      <c r="J13" s="8">
        <f>'Model inputs'!J23*'Model inputs'!C51</f>
        <v>0.6</v>
      </c>
      <c r="K13" s="8">
        <f>'Model inputs'!K23*'Model inputs'!C51</f>
        <v>0.7000000000000001</v>
      </c>
      <c r="L13" s="8">
        <f>'Model inputs'!L23*'Model inputs'!C51</f>
        <v>0.8</v>
      </c>
      <c r="M13" s="8">
        <f>'Model inputs'!M23*'Model inputs'!C51</f>
        <v>0.9</v>
      </c>
      <c r="N13" s="8">
        <f>'Model inputs'!N23*'Model inputs'!C51</f>
        <v>1</v>
      </c>
      <c r="O13" s="8">
        <f>'Model inputs'!O23*'Model inputs'!C51</f>
        <v>1.1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>
      <c r="A14" t="inlineStr" s="19">
        <is>
          <t xml:space="preserve">Customer losses · TenantGuard — High</t>
        </is>
      </c>
      <c r="D14" s="8">
        <f>'Model inputs'!D24*'Model inputs'!C52</f>
        <v>0</v>
      </c>
      <c r="E14" s="8">
        <f>'Model inputs'!E24*'Model inputs'!C52</f>
        <v>0.21666666666666667</v>
      </c>
      <c r="F14" s="8">
        <f>'Model inputs'!F24*'Model inputs'!C52</f>
        <v>0.4333333333333333</v>
      </c>
      <c r="G14" s="8">
        <f>'Model inputs'!G24*'Model inputs'!C52</f>
        <v>0.65</v>
      </c>
      <c r="H14" s="8">
        <f>'Model inputs'!H24*'Model inputs'!C52</f>
        <v>0.8666666666666666</v>
      </c>
      <c r="I14" s="8">
        <f>'Model inputs'!I24*'Model inputs'!C52</f>
        <v>1.0833333333333333</v>
      </c>
      <c r="J14" s="8">
        <f>'Model inputs'!J24*'Model inputs'!C52</f>
        <v>1.2999999999999998</v>
      </c>
      <c r="K14" s="8">
        <f>'Model inputs'!K24*'Model inputs'!C52</f>
        <v>1.5166666666666664</v>
      </c>
      <c r="L14" s="8">
        <f>'Model inputs'!L24*'Model inputs'!C52</f>
        <v>1.733333333333333</v>
      </c>
      <c r="M14" s="8">
        <f>'Model inputs'!M24*'Model inputs'!C52</f>
        <v>1.9499999999999997</v>
      </c>
      <c r="N14" s="8">
        <f>'Model inputs'!N24*'Model inputs'!C52</f>
        <v>2.1666666666666665</v>
      </c>
      <c r="O14" s="8">
        <f>'Model inputs'!O24*'Model inputs'!C52</f>
        <v>2.3833333333333333</v>
      </c>
      <c r="X14" s="8">
        <v>0</v>
      </c>
    </row>
    <row r="15">
      <c r="A15" t="inlineStr" s="19">
        <is>
          <t xml:space="preserve">Customer losses · TenantGuard — Low</t>
        </is>
      </c>
      <c r="D15" s="8">
        <f>'Model inputs'!D25*'Model inputs'!C53</f>
        <v>0</v>
      </c>
      <c r="E15" s="8">
        <f>'Model inputs'!E25*'Model inputs'!C53</f>
        <v>0.03333333333333333</v>
      </c>
      <c r="F15" s="8">
        <f>'Model inputs'!F25*'Model inputs'!C53</f>
        <v>0.06666666666666667</v>
      </c>
      <c r="G15" s="8">
        <f>'Model inputs'!G25*'Model inputs'!C53</f>
        <v>0.1</v>
      </c>
      <c r="H15" s="8">
        <f>'Model inputs'!H25*'Model inputs'!C53</f>
        <v>0.13333333333333333</v>
      </c>
      <c r="I15" s="8">
        <f>'Model inputs'!I25*'Model inputs'!C53</f>
        <v>0.16666666666666669</v>
      </c>
      <c r="J15" s="8">
        <f>'Model inputs'!J25*'Model inputs'!C53</f>
        <v>0.2</v>
      </c>
      <c r="K15" s="8">
        <f>'Model inputs'!K25*'Model inputs'!C53</f>
        <v>0.23333333333333336</v>
      </c>
      <c r="L15" s="8">
        <f>'Model inputs'!L25*'Model inputs'!C53</f>
        <v>0.26666666666666666</v>
      </c>
      <c r="M15" s="8">
        <f>'Model inputs'!M25*'Model inputs'!C53</f>
        <v>0.30000000000000004</v>
      </c>
      <c r="N15" s="8">
        <f>'Model inputs'!N25*'Model inputs'!C53</f>
        <v>0.3333333333333334</v>
      </c>
      <c r="O15" s="8">
        <f>'Model inputs'!O25*'Model inputs'!C53</f>
        <v>0.3666666666666667</v>
      </c>
      <c r="X15" s="8">
        <v>0</v>
      </c>
    </row>
    <row r="16">
      <c r="A16" t="inlineStr" s="19">
        <is>
          <t xml:space="preserve">Gross customer additions · TenantGuard three-case revenue ramp · Main Scenario</t>
        </is>
      </c>
      <c r="D16" s="8">
        <f>IF(IF(IF(IF(ISERROR('Model inputs'!D42&lt;='Model inputs'!C36),'Model inputs'!D42&lt;='Model inputs'!C36,IF(OR('Model inputs'!D42="",'Model inputs'!C36=""),"",'Model inputs'!D42&lt;='Model inputs'!C36))="",FALSE,IF(ISERROR('Model inputs'!D42&lt;='Model inputs'!C36),'Model inputs'!D42&lt;='Model inputs'!C36,IF(OR('Model inputs'!D42="",'Model inputs'!C36=""),"",'Model inputs'!D42&lt;='Model inputs'!C36))),('Model inputs'!C48-'Model inputs'!C45)/'Model inputs'!C36,0)="",0,IF(IF(IF(ISERROR('Model inputs'!D42&lt;='Model inputs'!C36),'Model inputs'!D42&lt;='Model inputs'!C36,IF(OR('Model inputs'!D42="",'Model inputs'!C36=""),"",'Model inputs'!D42&lt;='Model inputs'!C36))="",FALSE,IF(ISERROR('Model inputs'!D42&lt;='Model inputs'!C36),'Model inputs'!D42&lt;='Model inputs'!C36,IF(OR('Model inputs'!D42="",'Model inputs'!C36=""),"",'Model inputs'!D42&lt;='Model inputs'!C36))),('Model inputs'!C48-'Model inputs'!C45)/'Model inputs'!C36,0))+'Model inputs'!D23*'Model inputs'!C51</f>
        <v>10</v>
      </c>
      <c r="E16" s="8">
        <f>IF(IF(IF(IF(ISERROR('Model inputs'!E42&lt;='Model inputs'!C36),'Model inputs'!E42&lt;='Model inputs'!C36,IF(OR('Model inputs'!E42="",'Model inputs'!C36=""),"",'Model inputs'!E42&lt;='Model inputs'!C36))="",FALSE,IF(ISERROR('Model inputs'!E42&lt;='Model inputs'!C36),'Model inputs'!E42&lt;='Model inputs'!C36,IF(OR('Model inputs'!E42="",'Model inputs'!C36=""),"",'Model inputs'!E42&lt;='Model inputs'!C36))),('Model inputs'!C48-'Model inputs'!C45)/'Model inputs'!C36,0)="",0,IF(IF(IF(ISERROR('Model inputs'!E42&lt;='Model inputs'!C36),'Model inputs'!E42&lt;='Model inputs'!C36,IF(OR('Model inputs'!E42="",'Model inputs'!C36=""),"",'Model inputs'!E42&lt;='Model inputs'!C36))="",FALSE,IF(ISERROR('Model inputs'!E42&lt;='Model inputs'!C36),'Model inputs'!E42&lt;='Model inputs'!C36,IF(OR('Model inputs'!E42="",'Model inputs'!C36=""),"",'Model inputs'!E42&lt;='Model inputs'!C36))),('Model inputs'!C48-'Model inputs'!C45)/'Model inputs'!C36,0))+'Model inputs'!E23*'Model inputs'!C51</f>
        <v>10.1</v>
      </c>
      <c r="F16" s="8">
        <f>IF(IF(IF(IF(ISERROR('Model inputs'!F42&lt;='Model inputs'!C36),'Model inputs'!F42&lt;='Model inputs'!C36,IF(OR('Model inputs'!F42="",'Model inputs'!C36=""),"",'Model inputs'!F42&lt;='Model inputs'!C36))="",FALSE,IF(ISERROR('Model inputs'!F42&lt;='Model inputs'!C36),'Model inputs'!F42&lt;='Model inputs'!C36,IF(OR('Model inputs'!F42="",'Model inputs'!C36=""),"",'Model inputs'!F42&lt;='Model inputs'!C36))),('Model inputs'!C48-'Model inputs'!C45)/'Model inputs'!C36,0)="",0,IF(IF(IF(ISERROR('Model inputs'!F42&lt;='Model inputs'!C36),'Model inputs'!F42&lt;='Model inputs'!C36,IF(OR('Model inputs'!F42="",'Model inputs'!C36=""),"",'Model inputs'!F42&lt;='Model inputs'!C36))="",FALSE,IF(ISERROR('Model inputs'!F42&lt;='Model inputs'!C36),'Model inputs'!F42&lt;='Model inputs'!C36,IF(OR('Model inputs'!F42="",'Model inputs'!C36=""),"",'Model inputs'!F42&lt;='Model inputs'!C36))),('Model inputs'!C48-'Model inputs'!C45)/'Model inputs'!C36,0))+'Model inputs'!F23*'Model inputs'!C51</f>
        <v>10.2</v>
      </c>
      <c r="G16" s="8">
        <f>IF(IF(IF(IF(ISERROR('Model inputs'!G42&lt;='Model inputs'!C36),'Model inputs'!G42&lt;='Model inputs'!C36,IF(OR('Model inputs'!G42="",'Model inputs'!C36=""),"",'Model inputs'!G42&lt;='Model inputs'!C36))="",FALSE,IF(ISERROR('Model inputs'!G42&lt;='Model inputs'!C36),'Model inputs'!G42&lt;='Model inputs'!C36,IF(OR('Model inputs'!G42="",'Model inputs'!C36=""),"",'Model inputs'!G42&lt;='Model inputs'!C36))),('Model inputs'!C48-'Model inputs'!C45)/'Model inputs'!C36,0)="",0,IF(IF(IF(ISERROR('Model inputs'!G42&lt;='Model inputs'!C36),'Model inputs'!G42&lt;='Model inputs'!C36,IF(OR('Model inputs'!G42="",'Model inputs'!C36=""),"",'Model inputs'!G42&lt;='Model inputs'!C36))="",FALSE,IF(ISERROR('Model inputs'!G42&lt;='Model inputs'!C36),'Model inputs'!G42&lt;='Model inputs'!C36,IF(OR('Model inputs'!G42="",'Model inputs'!C36=""),"",'Model inputs'!G42&lt;='Model inputs'!C36))),('Model inputs'!C48-'Model inputs'!C45)/'Model inputs'!C36,0))+'Model inputs'!G23*'Model inputs'!C51</f>
        <v>10.3</v>
      </c>
      <c r="H16" s="8">
        <f>IF(IF(IF(IF(ISERROR('Model inputs'!H42&lt;='Model inputs'!C36),'Model inputs'!H42&lt;='Model inputs'!C36,IF(OR('Model inputs'!H42="",'Model inputs'!C36=""),"",'Model inputs'!H42&lt;='Model inputs'!C36))="",FALSE,IF(ISERROR('Model inputs'!H42&lt;='Model inputs'!C36),'Model inputs'!H42&lt;='Model inputs'!C36,IF(OR('Model inputs'!H42="",'Model inputs'!C36=""),"",'Model inputs'!H42&lt;='Model inputs'!C36))),('Model inputs'!C48-'Model inputs'!C45)/'Model inputs'!C36,0)="",0,IF(IF(IF(ISERROR('Model inputs'!H42&lt;='Model inputs'!C36),'Model inputs'!H42&lt;='Model inputs'!C36,IF(OR('Model inputs'!H42="",'Model inputs'!C36=""),"",'Model inputs'!H42&lt;='Model inputs'!C36))="",FALSE,IF(ISERROR('Model inputs'!H42&lt;='Model inputs'!C36),'Model inputs'!H42&lt;='Model inputs'!C36,IF(OR('Model inputs'!H42="",'Model inputs'!C36=""),"",'Model inputs'!H42&lt;='Model inputs'!C36))),('Model inputs'!C48-'Model inputs'!C45)/'Model inputs'!C36,0))+'Model inputs'!H23*'Model inputs'!C51</f>
        <v>10.4</v>
      </c>
      <c r="I16" s="8">
        <f>IF(IF(IF(IF(ISERROR('Model inputs'!I42&lt;='Model inputs'!C36),'Model inputs'!I42&lt;='Model inputs'!C36,IF(OR('Model inputs'!I42="",'Model inputs'!C36=""),"",'Model inputs'!I42&lt;='Model inputs'!C36))="",FALSE,IF(ISERROR('Model inputs'!I42&lt;='Model inputs'!C36),'Model inputs'!I42&lt;='Model inputs'!C36,IF(OR('Model inputs'!I42="",'Model inputs'!C36=""),"",'Model inputs'!I42&lt;='Model inputs'!C36))),('Model inputs'!C48-'Model inputs'!C45)/'Model inputs'!C36,0)="",0,IF(IF(IF(ISERROR('Model inputs'!I42&lt;='Model inputs'!C36),'Model inputs'!I42&lt;='Model inputs'!C36,IF(OR('Model inputs'!I42="",'Model inputs'!C36=""),"",'Model inputs'!I42&lt;='Model inputs'!C36))="",FALSE,IF(ISERROR('Model inputs'!I42&lt;='Model inputs'!C36),'Model inputs'!I42&lt;='Model inputs'!C36,IF(OR('Model inputs'!I42="",'Model inputs'!C36=""),"",'Model inputs'!I42&lt;='Model inputs'!C36))),('Model inputs'!C48-'Model inputs'!C45)/'Model inputs'!C36,0))+'Model inputs'!I23*'Model inputs'!C51</f>
        <v>10.5</v>
      </c>
      <c r="J16" s="8">
        <f>IF(IF(IF(IF(ISERROR('Model inputs'!J42&lt;='Model inputs'!C36),'Model inputs'!J42&lt;='Model inputs'!C36,IF(OR('Model inputs'!J42="",'Model inputs'!C36=""),"",'Model inputs'!J42&lt;='Model inputs'!C36))="",FALSE,IF(ISERROR('Model inputs'!J42&lt;='Model inputs'!C36),'Model inputs'!J42&lt;='Model inputs'!C36,IF(OR('Model inputs'!J42="",'Model inputs'!C36=""),"",'Model inputs'!J42&lt;='Model inputs'!C36))),('Model inputs'!C48-'Model inputs'!C45)/'Model inputs'!C36,0)="",0,IF(IF(IF(ISERROR('Model inputs'!J42&lt;='Model inputs'!C36),'Model inputs'!J42&lt;='Model inputs'!C36,IF(OR('Model inputs'!J42="",'Model inputs'!C36=""),"",'Model inputs'!J42&lt;='Model inputs'!C36))="",FALSE,IF(ISERROR('Model inputs'!J42&lt;='Model inputs'!C36),'Model inputs'!J42&lt;='Model inputs'!C36,IF(OR('Model inputs'!J42="",'Model inputs'!C36=""),"",'Model inputs'!J42&lt;='Model inputs'!C36))),('Model inputs'!C48-'Model inputs'!C45)/'Model inputs'!C36,0))+'Model inputs'!J23*'Model inputs'!C51</f>
        <v>10.6</v>
      </c>
      <c r="K16" s="8">
        <f>IF(IF(IF(IF(ISERROR('Model inputs'!K42&lt;='Model inputs'!C36),'Model inputs'!K42&lt;='Model inputs'!C36,IF(OR('Model inputs'!K42="",'Model inputs'!C36=""),"",'Model inputs'!K42&lt;='Model inputs'!C36))="",FALSE,IF(ISERROR('Model inputs'!K42&lt;='Model inputs'!C36),'Model inputs'!K42&lt;='Model inputs'!C36,IF(OR('Model inputs'!K42="",'Model inputs'!C36=""),"",'Model inputs'!K42&lt;='Model inputs'!C36))),('Model inputs'!C48-'Model inputs'!C45)/'Model inputs'!C36,0)="",0,IF(IF(IF(ISERROR('Model inputs'!K42&lt;='Model inputs'!C36),'Model inputs'!K42&lt;='Model inputs'!C36,IF(OR('Model inputs'!K42="",'Model inputs'!C36=""),"",'Model inputs'!K42&lt;='Model inputs'!C36))="",FALSE,IF(ISERROR('Model inputs'!K42&lt;='Model inputs'!C36),'Model inputs'!K42&lt;='Model inputs'!C36,IF(OR('Model inputs'!K42="",'Model inputs'!C36=""),"",'Model inputs'!K42&lt;='Model inputs'!C36))),('Model inputs'!C48-'Model inputs'!C45)/'Model inputs'!C36,0))+'Model inputs'!K23*'Model inputs'!C51</f>
        <v>10.7</v>
      </c>
      <c r="L16" s="8">
        <f>IF(IF(IF(IF(ISERROR('Model inputs'!L42&lt;='Model inputs'!C36),'Model inputs'!L42&lt;='Model inputs'!C36,IF(OR('Model inputs'!L42="",'Model inputs'!C36=""),"",'Model inputs'!L42&lt;='Model inputs'!C36))="",FALSE,IF(ISERROR('Model inputs'!L42&lt;='Model inputs'!C36),'Model inputs'!L42&lt;='Model inputs'!C36,IF(OR('Model inputs'!L42="",'Model inputs'!C36=""),"",'Model inputs'!L42&lt;='Model inputs'!C36))),('Model inputs'!C48-'Model inputs'!C45)/'Model inputs'!C36,0)="",0,IF(IF(IF(ISERROR('Model inputs'!L42&lt;='Model inputs'!C36),'Model inputs'!L42&lt;='Model inputs'!C36,IF(OR('Model inputs'!L42="",'Model inputs'!C36=""),"",'Model inputs'!L42&lt;='Model inputs'!C36))="",FALSE,IF(ISERROR('Model inputs'!L42&lt;='Model inputs'!C36),'Model inputs'!L42&lt;='Model inputs'!C36,IF(OR('Model inputs'!L42="",'Model inputs'!C36=""),"",'Model inputs'!L42&lt;='Model inputs'!C36))),('Model inputs'!C48-'Model inputs'!C45)/'Model inputs'!C36,0))+'Model inputs'!L23*'Model inputs'!C51</f>
        <v>10.8</v>
      </c>
      <c r="M16" s="8">
        <f>IF(IF(IF(IF(ISERROR('Model inputs'!M42&lt;='Model inputs'!C36),'Model inputs'!M42&lt;='Model inputs'!C36,IF(OR('Model inputs'!M42="",'Model inputs'!C36=""),"",'Model inputs'!M42&lt;='Model inputs'!C36))="",FALSE,IF(ISERROR('Model inputs'!M42&lt;='Model inputs'!C36),'Model inputs'!M42&lt;='Model inputs'!C36,IF(OR('Model inputs'!M42="",'Model inputs'!C36=""),"",'Model inputs'!M42&lt;='Model inputs'!C36))),('Model inputs'!C48-'Model inputs'!C45)/'Model inputs'!C36,0)="",0,IF(IF(IF(ISERROR('Model inputs'!M42&lt;='Model inputs'!C36),'Model inputs'!M42&lt;='Model inputs'!C36,IF(OR('Model inputs'!M42="",'Model inputs'!C36=""),"",'Model inputs'!M42&lt;='Model inputs'!C36))="",FALSE,IF(ISERROR('Model inputs'!M42&lt;='Model inputs'!C36),'Model inputs'!M42&lt;='Model inputs'!C36,IF(OR('Model inputs'!M42="",'Model inputs'!C36=""),"",'Model inputs'!M42&lt;='Model inputs'!C36))),('Model inputs'!C48-'Model inputs'!C45)/'Model inputs'!C36,0))+'Model inputs'!M23*'Model inputs'!C51</f>
        <v>10.9</v>
      </c>
      <c r="N16" s="8">
        <f>IF(IF(IF(IF(ISERROR('Model inputs'!N42&lt;='Model inputs'!C36),'Model inputs'!N42&lt;='Model inputs'!C36,IF(OR('Model inputs'!N42="",'Model inputs'!C36=""),"",'Model inputs'!N42&lt;='Model inputs'!C36))="",FALSE,IF(ISERROR('Model inputs'!N42&lt;='Model inputs'!C36),'Model inputs'!N42&lt;='Model inputs'!C36,IF(OR('Model inputs'!N42="",'Model inputs'!C36=""),"",'Model inputs'!N42&lt;='Model inputs'!C36))),('Model inputs'!C48-'Model inputs'!C45)/'Model inputs'!C36,0)="",0,IF(IF(IF(ISERROR('Model inputs'!N42&lt;='Model inputs'!C36),'Model inputs'!N42&lt;='Model inputs'!C36,IF(OR('Model inputs'!N42="",'Model inputs'!C36=""),"",'Model inputs'!N42&lt;='Model inputs'!C36))="",FALSE,IF(ISERROR('Model inputs'!N42&lt;='Model inputs'!C36),'Model inputs'!N42&lt;='Model inputs'!C36,IF(OR('Model inputs'!N42="",'Model inputs'!C36=""),"",'Model inputs'!N42&lt;='Model inputs'!C36))),('Model inputs'!C48-'Model inputs'!C45)/'Model inputs'!C36,0))+'Model inputs'!N23*'Model inputs'!C51</f>
        <v>11</v>
      </c>
      <c r="O16" s="8">
        <f>IF(IF(IF(IF(ISERROR('Model inputs'!O42&lt;='Model inputs'!C36),'Model inputs'!O42&lt;='Model inputs'!C36,IF(OR('Model inputs'!O42="",'Model inputs'!C36=""),"",'Model inputs'!O42&lt;='Model inputs'!C36))="",FALSE,IF(ISERROR('Model inputs'!O42&lt;='Model inputs'!C36),'Model inputs'!O42&lt;='Model inputs'!C36,IF(OR('Model inputs'!O42="",'Model inputs'!C36=""),"",'Model inputs'!O42&lt;='Model inputs'!C36))),('Model inputs'!C48-'Model inputs'!C45)/'Model inputs'!C36,0)="",0,IF(IF(IF(ISERROR('Model inputs'!O42&lt;='Model inputs'!C36),'Model inputs'!O42&lt;='Model inputs'!C36,IF(OR('Model inputs'!O42="",'Model inputs'!C36=""),"",'Model inputs'!O42&lt;='Model inputs'!C36))="",FALSE,IF(ISERROR('Model inputs'!O42&lt;='Model inputs'!C36),'Model inputs'!O42&lt;='Model inputs'!C36,IF(OR('Model inputs'!O42="",'Model inputs'!C36=""),"",'Model inputs'!O42&lt;='Model inputs'!C36))),('Model inputs'!C48-'Model inputs'!C45)/'Model inputs'!C36,0))+'Model inputs'!O23*'Model inputs'!C51</f>
        <v>11.1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>
      <c r="A17" t="inlineStr" s="19">
        <is>
          <t xml:space="preserve">Gross customer additions · TenantGuard — High</t>
        </is>
      </c>
      <c r="D17" s="8">
        <f>IF(IF(IF(IF(ISERROR('Model inputs'!D43&lt;='Model inputs'!C37),'Model inputs'!D43&lt;='Model inputs'!C37,IF(OR('Model inputs'!D43="",'Model inputs'!C37=""),"",'Model inputs'!D43&lt;='Model inputs'!C37))="",FALSE,IF(ISERROR('Model inputs'!D43&lt;='Model inputs'!C37),'Model inputs'!D43&lt;='Model inputs'!C37,IF(OR('Model inputs'!D43="",'Model inputs'!C37=""),"",'Model inputs'!D43&lt;='Model inputs'!C37))),('Model inputs'!C49-'Model inputs'!C46)/'Model inputs'!C37,0)="",0,IF(IF(IF(ISERROR('Model inputs'!D43&lt;='Model inputs'!C37),'Model inputs'!D43&lt;='Model inputs'!C37,IF(OR('Model inputs'!D43="",'Model inputs'!C37=""),"",'Model inputs'!D43&lt;='Model inputs'!C37))="",FALSE,IF(ISERROR('Model inputs'!D43&lt;='Model inputs'!C37),'Model inputs'!D43&lt;='Model inputs'!C37,IF(OR('Model inputs'!D43="",'Model inputs'!C37=""),"",'Model inputs'!D43&lt;='Model inputs'!C37))),('Model inputs'!C49-'Model inputs'!C46)/'Model inputs'!C37,0))+'Model inputs'!D24*'Model inputs'!C52</f>
        <v>21.666666666666668</v>
      </c>
      <c r="E17" s="8">
        <f>IF(IF(IF(IF(ISERROR('Model inputs'!E43&lt;='Model inputs'!C37),'Model inputs'!E43&lt;='Model inputs'!C37,IF(OR('Model inputs'!E43="",'Model inputs'!C37=""),"",'Model inputs'!E43&lt;='Model inputs'!C37))="",FALSE,IF(ISERROR('Model inputs'!E43&lt;='Model inputs'!C37),'Model inputs'!E43&lt;='Model inputs'!C37,IF(OR('Model inputs'!E43="",'Model inputs'!C37=""),"",'Model inputs'!E43&lt;='Model inputs'!C37))),('Model inputs'!C49-'Model inputs'!C46)/'Model inputs'!C37,0)="",0,IF(IF(IF(ISERROR('Model inputs'!E43&lt;='Model inputs'!C37),'Model inputs'!E43&lt;='Model inputs'!C37,IF(OR('Model inputs'!E43="",'Model inputs'!C37=""),"",'Model inputs'!E43&lt;='Model inputs'!C37))="",FALSE,IF(ISERROR('Model inputs'!E43&lt;='Model inputs'!C37),'Model inputs'!E43&lt;='Model inputs'!C37,IF(OR('Model inputs'!E43="",'Model inputs'!C37=""),"",'Model inputs'!E43&lt;='Model inputs'!C37))),('Model inputs'!C49-'Model inputs'!C46)/'Model inputs'!C37,0))+'Model inputs'!E24*'Model inputs'!C52</f>
        <v>21.883333333333333</v>
      </c>
      <c r="F17" s="8">
        <f>IF(IF(IF(IF(ISERROR('Model inputs'!F43&lt;='Model inputs'!C37),'Model inputs'!F43&lt;='Model inputs'!C37,IF(OR('Model inputs'!F43="",'Model inputs'!C37=""),"",'Model inputs'!F43&lt;='Model inputs'!C37))="",FALSE,IF(ISERROR('Model inputs'!F43&lt;='Model inputs'!C37),'Model inputs'!F43&lt;='Model inputs'!C37,IF(OR('Model inputs'!F43="",'Model inputs'!C37=""),"",'Model inputs'!F43&lt;='Model inputs'!C37))),('Model inputs'!C49-'Model inputs'!C46)/'Model inputs'!C37,0)="",0,IF(IF(IF(ISERROR('Model inputs'!F43&lt;='Model inputs'!C37),'Model inputs'!F43&lt;='Model inputs'!C37,IF(OR('Model inputs'!F43="",'Model inputs'!C37=""),"",'Model inputs'!F43&lt;='Model inputs'!C37))="",FALSE,IF(ISERROR('Model inputs'!F43&lt;='Model inputs'!C37),'Model inputs'!F43&lt;='Model inputs'!C37,IF(OR('Model inputs'!F43="",'Model inputs'!C37=""),"",'Model inputs'!F43&lt;='Model inputs'!C37))),('Model inputs'!C49-'Model inputs'!C46)/'Model inputs'!C37,0))+'Model inputs'!F24*'Model inputs'!C52</f>
        <v>22.1</v>
      </c>
      <c r="G17" s="8">
        <f>IF(IF(IF(IF(ISERROR('Model inputs'!G43&lt;='Model inputs'!C37),'Model inputs'!G43&lt;='Model inputs'!C37,IF(OR('Model inputs'!G43="",'Model inputs'!C37=""),"",'Model inputs'!G43&lt;='Model inputs'!C37))="",FALSE,IF(ISERROR('Model inputs'!G43&lt;='Model inputs'!C37),'Model inputs'!G43&lt;='Model inputs'!C37,IF(OR('Model inputs'!G43="",'Model inputs'!C37=""),"",'Model inputs'!G43&lt;='Model inputs'!C37))),('Model inputs'!C49-'Model inputs'!C46)/'Model inputs'!C37,0)="",0,IF(IF(IF(ISERROR('Model inputs'!G43&lt;='Model inputs'!C37),'Model inputs'!G43&lt;='Model inputs'!C37,IF(OR('Model inputs'!G43="",'Model inputs'!C37=""),"",'Model inputs'!G43&lt;='Model inputs'!C37))="",FALSE,IF(ISERROR('Model inputs'!G43&lt;='Model inputs'!C37),'Model inputs'!G43&lt;='Model inputs'!C37,IF(OR('Model inputs'!G43="",'Model inputs'!C37=""),"",'Model inputs'!G43&lt;='Model inputs'!C37))),('Model inputs'!C49-'Model inputs'!C46)/'Model inputs'!C37,0))+'Model inputs'!G24*'Model inputs'!C52</f>
        <v>22.316666666666666</v>
      </c>
      <c r="H17" s="8">
        <f>IF(IF(IF(IF(ISERROR('Model inputs'!H43&lt;='Model inputs'!C37),'Model inputs'!H43&lt;='Model inputs'!C37,IF(OR('Model inputs'!H43="",'Model inputs'!C37=""),"",'Model inputs'!H43&lt;='Model inputs'!C37))="",FALSE,IF(ISERROR('Model inputs'!H43&lt;='Model inputs'!C37),'Model inputs'!H43&lt;='Model inputs'!C37,IF(OR('Model inputs'!H43="",'Model inputs'!C37=""),"",'Model inputs'!H43&lt;='Model inputs'!C37))),('Model inputs'!C49-'Model inputs'!C46)/'Model inputs'!C37,0)="",0,IF(IF(IF(ISERROR('Model inputs'!H43&lt;='Model inputs'!C37),'Model inputs'!H43&lt;='Model inputs'!C37,IF(OR('Model inputs'!H43="",'Model inputs'!C37=""),"",'Model inputs'!H43&lt;='Model inputs'!C37))="",FALSE,IF(ISERROR('Model inputs'!H43&lt;='Model inputs'!C37),'Model inputs'!H43&lt;='Model inputs'!C37,IF(OR('Model inputs'!H43="",'Model inputs'!C37=""),"",'Model inputs'!H43&lt;='Model inputs'!C37))),('Model inputs'!C49-'Model inputs'!C46)/'Model inputs'!C37,0))+'Model inputs'!H24*'Model inputs'!C52</f>
        <v>22.533333333333335</v>
      </c>
      <c r="I17" s="8">
        <f>IF(IF(IF(IF(ISERROR('Model inputs'!I43&lt;='Model inputs'!C37),'Model inputs'!I43&lt;='Model inputs'!C37,IF(OR('Model inputs'!I43="",'Model inputs'!C37=""),"",'Model inputs'!I43&lt;='Model inputs'!C37))="",FALSE,IF(ISERROR('Model inputs'!I43&lt;='Model inputs'!C37),'Model inputs'!I43&lt;='Model inputs'!C37,IF(OR('Model inputs'!I43="",'Model inputs'!C37=""),"",'Model inputs'!I43&lt;='Model inputs'!C37))),('Model inputs'!C49-'Model inputs'!C46)/'Model inputs'!C37,0)="",0,IF(IF(IF(ISERROR('Model inputs'!I43&lt;='Model inputs'!C37),'Model inputs'!I43&lt;='Model inputs'!C37,IF(OR('Model inputs'!I43="",'Model inputs'!C37=""),"",'Model inputs'!I43&lt;='Model inputs'!C37))="",FALSE,IF(ISERROR('Model inputs'!I43&lt;='Model inputs'!C37),'Model inputs'!I43&lt;='Model inputs'!C37,IF(OR('Model inputs'!I43="",'Model inputs'!C37=""),"",'Model inputs'!I43&lt;='Model inputs'!C37))),('Model inputs'!C49-'Model inputs'!C46)/'Model inputs'!C37,0))+'Model inputs'!I24*'Model inputs'!C52</f>
        <v>22.75</v>
      </c>
      <c r="J17" s="8">
        <f>IF(IF(IF(IF(ISERROR('Model inputs'!J43&lt;='Model inputs'!C37),'Model inputs'!J43&lt;='Model inputs'!C37,IF(OR('Model inputs'!J43="",'Model inputs'!C37=""),"",'Model inputs'!J43&lt;='Model inputs'!C37))="",FALSE,IF(ISERROR('Model inputs'!J43&lt;='Model inputs'!C37),'Model inputs'!J43&lt;='Model inputs'!C37,IF(OR('Model inputs'!J43="",'Model inputs'!C37=""),"",'Model inputs'!J43&lt;='Model inputs'!C37))),('Model inputs'!C49-'Model inputs'!C46)/'Model inputs'!C37,0)="",0,IF(IF(IF(ISERROR('Model inputs'!J43&lt;='Model inputs'!C37),'Model inputs'!J43&lt;='Model inputs'!C37,IF(OR('Model inputs'!J43="",'Model inputs'!C37=""),"",'Model inputs'!J43&lt;='Model inputs'!C37))="",FALSE,IF(ISERROR('Model inputs'!J43&lt;='Model inputs'!C37),'Model inputs'!J43&lt;='Model inputs'!C37,IF(OR('Model inputs'!J43="",'Model inputs'!C37=""),"",'Model inputs'!J43&lt;='Model inputs'!C37))),('Model inputs'!C49-'Model inputs'!C46)/'Model inputs'!C37,0))+'Model inputs'!J24*'Model inputs'!C52</f>
        <v>22.96666666666667</v>
      </c>
      <c r="K17" s="8">
        <f>IF(IF(IF(IF(ISERROR('Model inputs'!K43&lt;='Model inputs'!C37),'Model inputs'!K43&lt;='Model inputs'!C37,IF(OR('Model inputs'!K43="",'Model inputs'!C37=""),"",'Model inputs'!K43&lt;='Model inputs'!C37))="",FALSE,IF(ISERROR('Model inputs'!K43&lt;='Model inputs'!C37),'Model inputs'!K43&lt;='Model inputs'!C37,IF(OR('Model inputs'!K43="",'Model inputs'!C37=""),"",'Model inputs'!K43&lt;='Model inputs'!C37))),('Model inputs'!C49-'Model inputs'!C46)/'Model inputs'!C37,0)="",0,IF(IF(IF(ISERROR('Model inputs'!K43&lt;='Model inputs'!C37),'Model inputs'!K43&lt;='Model inputs'!C37,IF(OR('Model inputs'!K43="",'Model inputs'!C37=""),"",'Model inputs'!K43&lt;='Model inputs'!C37))="",FALSE,IF(ISERROR('Model inputs'!K43&lt;='Model inputs'!C37),'Model inputs'!K43&lt;='Model inputs'!C37,IF(OR('Model inputs'!K43="",'Model inputs'!C37=""),"",'Model inputs'!K43&lt;='Model inputs'!C37))),('Model inputs'!C49-'Model inputs'!C46)/'Model inputs'!C37,0))+'Model inputs'!K24*'Model inputs'!C52</f>
        <v>23.183333333333334</v>
      </c>
      <c r="L17" s="8">
        <f>IF(IF(IF(IF(ISERROR('Model inputs'!L43&lt;='Model inputs'!C37),'Model inputs'!L43&lt;='Model inputs'!C37,IF(OR('Model inputs'!L43="",'Model inputs'!C37=""),"",'Model inputs'!L43&lt;='Model inputs'!C37))="",FALSE,IF(ISERROR('Model inputs'!L43&lt;='Model inputs'!C37),'Model inputs'!L43&lt;='Model inputs'!C37,IF(OR('Model inputs'!L43="",'Model inputs'!C37=""),"",'Model inputs'!L43&lt;='Model inputs'!C37))),('Model inputs'!C49-'Model inputs'!C46)/'Model inputs'!C37,0)="",0,IF(IF(IF(ISERROR('Model inputs'!L43&lt;='Model inputs'!C37),'Model inputs'!L43&lt;='Model inputs'!C37,IF(OR('Model inputs'!L43="",'Model inputs'!C37=""),"",'Model inputs'!L43&lt;='Model inputs'!C37))="",FALSE,IF(ISERROR('Model inputs'!L43&lt;='Model inputs'!C37),'Model inputs'!L43&lt;='Model inputs'!C37,IF(OR('Model inputs'!L43="",'Model inputs'!C37=""),"",'Model inputs'!L43&lt;='Model inputs'!C37))),('Model inputs'!C49-'Model inputs'!C46)/'Model inputs'!C37,0))+'Model inputs'!L24*'Model inputs'!C52</f>
        <v>23.400000000000002</v>
      </c>
      <c r="M17" s="8">
        <f>IF(IF(IF(IF(ISERROR('Model inputs'!M43&lt;='Model inputs'!C37),'Model inputs'!M43&lt;='Model inputs'!C37,IF(OR('Model inputs'!M43="",'Model inputs'!C37=""),"",'Model inputs'!M43&lt;='Model inputs'!C37))="",FALSE,IF(ISERROR('Model inputs'!M43&lt;='Model inputs'!C37),'Model inputs'!M43&lt;='Model inputs'!C37,IF(OR('Model inputs'!M43="",'Model inputs'!C37=""),"",'Model inputs'!M43&lt;='Model inputs'!C37))),('Model inputs'!C49-'Model inputs'!C46)/'Model inputs'!C37,0)="",0,IF(IF(IF(ISERROR('Model inputs'!M43&lt;='Model inputs'!C37),'Model inputs'!M43&lt;='Model inputs'!C37,IF(OR('Model inputs'!M43="",'Model inputs'!C37=""),"",'Model inputs'!M43&lt;='Model inputs'!C37))="",FALSE,IF(ISERROR('Model inputs'!M43&lt;='Model inputs'!C37),'Model inputs'!M43&lt;='Model inputs'!C37,IF(OR('Model inputs'!M43="",'Model inputs'!C37=""),"",'Model inputs'!M43&lt;='Model inputs'!C37))),('Model inputs'!C49-'Model inputs'!C46)/'Model inputs'!C37,0))+'Model inputs'!M24*'Model inputs'!C52</f>
        <v>23.616666666666667</v>
      </c>
      <c r="N17" s="8">
        <f>IF(IF(IF(IF(ISERROR('Model inputs'!N43&lt;='Model inputs'!C37),'Model inputs'!N43&lt;='Model inputs'!C37,IF(OR('Model inputs'!N43="",'Model inputs'!C37=""),"",'Model inputs'!N43&lt;='Model inputs'!C37))="",FALSE,IF(ISERROR('Model inputs'!N43&lt;='Model inputs'!C37),'Model inputs'!N43&lt;='Model inputs'!C37,IF(OR('Model inputs'!N43="",'Model inputs'!C37=""),"",'Model inputs'!N43&lt;='Model inputs'!C37))),('Model inputs'!C49-'Model inputs'!C46)/'Model inputs'!C37,0)="",0,IF(IF(IF(ISERROR('Model inputs'!N43&lt;='Model inputs'!C37),'Model inputs'!N43&lt;='Model inputs'!C37,IF(OR('Model inputs'!N43="",'Model inputs'!C37=""),"",'Model inputs'!N43&lt;='Model inputs'!C37))="",FALSE,IF(ISERROR('Model inputs'!N43&lt;='Model inputs'!C37),'Model inputs'!N43&lt;='Model inputs'!C37,IF(OR('Model inputs'!N43="",'Model inputs'!C37=""),"",'Model inputs'!N43&lt;='Model inputs'!C37))),('Model inputs'!C49-'Model inputs'!C46)/'Model inputs'!C37,0))+'Model inputs'!N24*'Model inputs'!C52</f>
        <v>23.833333333333336</v>
      </c>
      <c r="O17" s="8">
        <f>IF(IF(IF(IF(ISERROR('Model inputs'!O43&lt;='Model inputs'!C37),'Model inputs'!O43&lt;='Model inputs'!C37,IF(OR('Model inputs'!O43="",'Model inputs'!C37=""),"",'Model inputs'!O43&lt;='Model inputs'!C37))="",FALSE,IF(ISERROR('Model inputs'!O43&lt;='Model inputs'!C37),'Model inputs'!O43&lt;='Model inputs'!C37,IF(OR('Model inputs'!O43="",'Model inputs'!C37=""),"",'Model inputs'!O43&lt;='Model inputs'!C37))),('Model inputs'!C49-'Model inputs'!C46)/'Model inputs'!C37,0)="",0,IF(IF(IF(ISERROR('Model inputs'!O43&lt;='Model inputs'!C37),'Model inputs'!O43&lt;='Model inputs'!C37,IF(OR('Model inputs'!O43="",'Model inputs'!C37=""),"",'Model inputs'!O43&lt;='Model inputs'!C37))="",FALSE,IF(ISERROR('Model inputs'!O43&lt;='Model inputs'!C37),'Model inputs'!O43&lt;='Model inputs'!C37,IF(OR('Model inputs'!O43="",'Model inputs'!C37=""),"",'Model inputs'!O43&lt;='Model inputs'!C37))),('Model inputs'!C49-'Model inputs'!C46)/'Model inputs'!C37,0))+'Model inputs'!O24*'Model inputs'!C52</f>
        <v>24.05</v>
      </c>
      <c r="X17" s="8">
        <v>0</v>
      </c>
    </row>
    <row r="18">
      <c r="A18" t="inlineStr" s="19">
        <is>
          <t xml:space="preserve">Gross customer additions · TenantGuard — Low</t>
        </is>
      </c>
      <c r="D18" s="8">
        <f>IF(IF(IF(IF(ISERROR('Model inputs'!D44&lt;='Model inputs'!C38),'Model inputs'!D44&lt;='Model inputs'!C38,IF(OR('Model inputs'!D44="",'Model inputs'!C38=""),"",'Model inputs'!D44&lt;='Model inputs'!C38))="",FALSE,IF(ISERROR('Model inputs'!D44&lt;='Model inputs'!C38),'Model inputs'!D44&lt;='Model inputs'!C38,IF(OR('Model inputs'!D44="",'Model inputs'!C38=""),"",'Model inputs'!D44&lt;='Model inputs'!C38))),('Model inputs'!C50-'Model inputs'!C47)/'Model inputs'!C38,0)="",0,IF(IF(IF(ISERROR('Model inputs'!D44&lt;='Model inputs'!C38),'Model inputs'!D44&lt;='Model inputs'!C38,IF(OR('Model inputs'!D44="",'Model inputs'!C38=""),"",'Model inputs'!D44&lt;='Model inputs'!C38))="",FALSE,IF(ISERROR('Model inputs'!D44&lt;='Model inputs'!C38),'Model inputs'!D44&lt;='Model inputs'!C38,IF(OR('Model inputs'!D44="",'Model inputs'!C38=""),"",'Model inputs'!D44&lt;='Model inputs'!C38))),('Model inputs'!C50-'Model inputs'!C47)/'Model inputs'!C38,0))+'Model inputs'!D25*'Model inputs'!C53</f>
        <v>3.3333333333333335</v>
      </c>
      <c r="E18" s="8">
        <f>IF(IF(IF(IF(ISERROR('Model inputs'!E44&lt;='Model inputs'!C38),'Model inputs'!E44&lt;='Model inputs'!C38,IF(OR('Model inputs'!E44="",'Model inputs'!C38=""),"",'Model inputs'!E44&lt;='Model inputs'!C38))="",FALSE,IF(ISERROR('Model inputs'!E44&lt;='Model inputs'!C38),'Model inputs'!E44&lt;='Model inputs'!C38,IF(OR('Model inputs'!E44="",'Model inputs'!C38=""),"",'Model inputs'!E44&lt;='Model inputs'!C38))),('Model inputs'!C50-'Model inputs'!C47)/'Model inputs'!C38,0)="",0,IF(IF(IF(ISERROR('Model inputs'!E44&lt;='Model inputs'!C38),'Model inputs'!E44&lt;='Model inputs'!C38,IF(OR('Model inputs'!E44="",'Model inputs'!C38=""),"",'Model inputs'!E44&lt;='Model inputs'!C38))="",FALSE,IF(ISERROR('Model inputs'!E44&lt;='Model inputs'!C38),'Model inputs'!E44&lt;='Model inputs'!C38,IF(OR('Model inputs'!E44="",'Model inputs'!C38=""),"",'Model inputs'!E44&lt;='Model inputs'!C38))),('Model inputs'!C50-'Model inputs'!C47)/'Model inputs'!C38,0))+'Model inputs'!E25*'Model inputs'!C53</f>
        <v>3.3666666666666667</v>
      </c>
      <c r="F18" s="8">
        <f>IF(IF(IF(IF(ISERROR('Model inputs'!F44&lt;='Model inputs'!C38),'Model inputs'!F44&lt;='Model inputs'!C38,IF(OR('Model inputs'!F44="",'Model inputs'!C38=""),"",'Model inputs'!F44&lt;='Model inputs'!C38))="",FALSE,IF(ISERROR('Model inputs'!F44&lt;='Model inputs'!C38),'Model inputs'!F44&lt;='Model inputs'!C38,IF(OR('Model inputs'!F44="",'Model inputs'!C38=""),"",'Model inputs'!F44&lt;='Model inputs'!C38))),('Model inputs'!C50-'Model inputs'!C47)/'Model inputs'!C38,0)="",0,IF(IF(IF(ISERROR('Model inputs'!F44&lt;='Model inputs'!C38),'Model inputs'!F44&lt;='Model inputs'!C38,IF(OR('Model inputs'!F44="",'Model inputs'!C38=""),"",'Model inputs'!F44&lt;='Model inputs'!C38))="",FALSE,IF(ISERROR('Model inputs'!F44&lt;='Model inputs'!C38),'Model inputs'!F44&lt;='Model inputs'!C38,IF(OR('Model inputs'!F44="",'Model inputs'!C38=""),"",'Model inputs'!F44&lt;='Model inputs'!C38))),('Model inputs'!C50-'Model inputs'!C47)/'Model inputs'!C38,0))+'Model inputs'!F25*'Model inputs'!C53</f>
        <v>3.4000000000000004</v>
      </c>
      <c r="G18" s="8">
        <f>IF(IF(IF(IF(ISERROR('Model inputs'!G44&lt;='Model inputs'!C38),'Model inputs'!G44&lt;='Model inputs'!C38,IF(OR('Model inputs'!G44="",'Model inputs'!C38=""),"",'Model inputs'!G44&lt;='Model inputs'!C38))="",FALSE,IF(ISERROR('Model inputs'!G44&lt;='Model inputs'!C38),'Model inputs'!G44&lt;='Model inputs'!C38,IF(OR('Model inputs'!G44="",'Model inputs'!C38=""),"",'Model inputs'!G44&lt;='Model inputs'!C38))),('Model inputs'!C50-'Model inputs'!C47)/'Model inputs'!C38,0)="",0,IF(IF(IF(ISERROR('Model inputs'!G44&lt;='Model inputs'!C38),'Model inputs'!G44&lt;='Model inputs'!C38,IF(OR('Model inputs'!G44="",'Model inputs'!C38=""),"",'Model inputs'!G44&lt;='Model inputs'!C38))="",FALSE,IF(ISERROR('Model inputs'!G44&lt;='Model inputs'!C38),'Model inputs'!G44&lt;='Model inputs'!C38,IF(OR('Model inputs'!G44="",'Model inputs'!C38=""),"",'Model inputs'!G44&lt;='Model inputs'!C38))),('Model inputs'!C50-'Model inputs'!C47)/'Model inputs'!C38,0))+'Model inputs'!G25*'Model inputs'!C53</f>
        <v>3.4333333333333336</v>
      </c>
      <c r="H18" s="8">
        <f>IF(IF(IF(IF(ISERROR('Model inputs'!H44&lt;='Model inputs'!C38),'Model inputs'!H44&lt;='Model inputs'!C38,IF(OR('Model inputs'!H44="",'Model inputs'!C38=""),"",'Model inputs'!H44&lt;='Model inputs'!C38))="",FALSE,IF(ISERROR('Model inputs'!H44&lt;='Model inputs'!C38),'Model inputs'!H44&lt;='Model inputs'!C38,IF(OR('Model inputs'!H44="",'Model inputs'!C38=""),"",'Model inputs'!H44&lt;='Model inputs'!C38))),('Model inputs'!C50-'Model inputs'!C47)/'Model inputs'!C38,0)="",0,IF(IF(IF(ISERROR('Model inputs'!H44&lt;='Model inputs'!C38),'Model inputs'!H44&lt;='Model inputs'!C38,IF(OR('Model inputs'!H44="",'Model inputs'!C38=""),"",'Model inputs'!H44&lt;='Model inputs'!C38))="",FALSE,IF(ISERROR('Model inputs'!H44&lt;='Model inputs'!C38),'Model inputs'!H44&lt;='Model inputs'!C38,IF(OR('Model inputs'!H44="",'Model inputs'!C38=""),"",'Model inputs'!H44&lt;='Model inputs'!C38))),('Model inputs'!C50-'Model inputs'!C47)/'Model inputs'!C38,0))+'Model inputs'!H25*'Model inputs'!C53</f>
        <v>3.466666666666667</v>
      </c>
      <c r="I18" s="8">
        <f>IF(IF(IF(IF(ISERROR('Model inputs'!I44&lt;='Model inputs'!C38),'Model inputs'!I44&lt;='Model inputs'!C38,IF(OR('Model inputs'!I44="",'Model inputs'!C38=""),"",'Model inputs'!I44&lt;='Model inputs'!C38))="",FALSE,IF(ISERROR('Model inputs'!I44&lt;='Model inputs'!C38),'Model inputs'!I44&lt;='Model inputs'!C38,IF(OR('Model inputs'!I44="",'Model inputs'!C38=""),"",'Model inputs'!I44&lt;='Model inputs'!C38))),('Model inputs'!C50-'Model inputs'!C47)/'Model inputs'!C38,0)="",0,IF(IF(IF(ISERROR('Model inputs'!I44&lt;='Model inputs'!C38),'Model inputs'!I44&lt;='Model inputs'!C38,IF(OR('Model inputs'!I44="",'Model inputs'!C38=""),"",'Model inputs'!I44&lt;='Model inputs'!C38))="",FALSE,IF(ISERROR('Model inputs'!I44&lt;='Model inputs'!C38),'Model inputs'!I44&lt;='Model inputs'!C38,IF(OR('Model inputs'!I44="",'Model inputs'!C38=""),"",'Model inputs'!I44&lt;='Model inputs'!C38))),('Model inputs'!C50-'Model inputs'!C47)/'Model inputs'!C38,0))+'Model inputs'!I25*'Model inputs'!C53</f>
        <v>3.5</v>
      </c>
      <c r="J18" s="8">
        <f>IF(IF(IF(IF(ISERROR('Model inputs'!J44&lt;='Model inputs'!C38),'Model inputs'!J44&lt;='Model inputs'!C38,IF(OR('Model inputs'!J44="",'Model inputs'!C38=""),"",'Model inputs'!J44&lt;='Model inputs'!C38))="",FALSE,IF(ISERROR('Model inputs'!J44&lt;='Model inputs'!C38),'Model inputs'!J44&lt;='Model inputs'!C38,IF(OR('Model inputs'!J44="",'Model inputs'!C38=""),"",'Model inputs'!J44&lt;='Model inputs'!C38))),('Model inputs'!C50-'Model inputs'!C47)/'Model inputs'!C38,0)="",0,IF(IF(IF(ISERROR('Model inputs'!J44&lt;='Model inputs'!C38),'Model inputs'!J44&lt;='Model inputs'!C38,IF(OR('Model inputs'!J44="",'Model inputs'!C38=""),"",'Model inputs'!J44&lt;='Model inputs'!C38))="",FALSE,IF(ISERROR('Model inputs'!J44&lt;='Model inputs'!C38),'Model inputs'!J44&lt;='Model inputs'!C38,IF(OR('Model inputs'!J44="",'Model inputs'!C38=""),"",'Model inputs'!J44&lt;='Model inputs'!C38))),('Model inputs'!C50-'Model inputs'!C47)/'Model inputs'!C38,0))+'Model inputs'!J25*'Model inputs'!C53</f>
        <v>3.5333333333333337</v>
      </c>
      <c r="K18" s="8">
        <f>IF(IF(IF(IF(ISERROR('Model inputs'!K44&lt;='Model inputs'!C38),'Model inputs'!K44&lt;='Model inputs'!C38,IF(OR('Model inputs'!K44="",'Model inputs'!C38=""),"",'Model inputs'!K44&lt;='Model inputs'!C38))="",FALSE,IF(ISERROR('Model inputs'!K44&lt;='Model inputs'!C38),'Model inputs'!K44&lt;='Model inputs'!C38,IF(OR('Model inputs'!K44="",'Model inputs'!C38=""),"",'Model inputs'!K44&lt;='Model inputs'!C38))),('Model inputs'!C50-'Model inputs'!C47)/'Model inputs'!C38,0)="",0,IF(IF(IF(ISERROR('Model inputs'!K44&lt;='Model inputs'!C38),'Model inputs'!K44&lt;='Model inputs'!C38,IF(OR('Model inputs'!K44="",'Model inputs'!C38=""),"",'Model inputs'!K44&lt;='Model inputs'!C38))="",FALSE,IF(ISERROR('Model inputs'!K44&lt;='Model inputs'!C38),'Model inputs'!K44&lt;='Model inputs'!C38,IF(OR('Model inputs'!K44="",'Model inputs'!C38=""),"",'Model inputs'!K44&lt;='Model inputs'!C38))),('Model inputs'!C50-'Model inputs'!C47)/'Model inputs'!C38,0))+'Model inputs'!K25*'Model inputs'!C53</f>
        <v>3.566666666666667</v>
      </c>
      <c r="L18" s="8">
        <f>IF(IF(IF(IF(ISERROR('Model inputs'!L44&lt;='Model inputs'!C38),'Model inputs'!L44&lt;='Model inputs'!C38,IF(OR('Model inputs'!L44="",'Model inputs'!C38=""),"",'Model inputs'!L44&lt;='Model inputs'!C38))="",FALSE,IF(ISERROR('Model inputs'!L44&lt;='Model inputs'!C38),'Model inputs'!L44&lt;='Model inputs'!C38,IF(OR('Model inputs'!L44="",'Model inputs'!C38=""),"",'Model inputs'!L44&lt;='Model inputs'!C38))),('Model inputs'!C50-'Model inputs'!C47)/'Model inputs'!C38,0)="",0,IF(IF(IF(ISERROR('Model inputs'!L44&lt;='Model inputs'!C38),'Model inputs'!L44&lt;='Model inputs'!C38,IF(OR('Model inputs'!L44="",'Model inputs'!C38=""),"",'Model inputs'!L44&lt;='Model inputs'!C38))="",FALSE,IF(ISERROR('Model inputs'!L44&lt;='Model inputs'!C38),'Model inputs'!L44&lt;='Model inputs'!C38,IF(OR('Model inputs'!L44="",'Model inputs'!C38=""),"",'Model inputs'!L44&lt;='Model inputs'!C38))),('Model inputs'!C50-'Model inputs'!C47)/'Model inputs'!C38,0))+'Model inputs'!L25*'Model inputs'!C53</f>
        <v>3.6</v>
      </c>
      <c r="M18" s="8">
        <f>IF(IF(IF(IF(ISERROR('Model inputs'!M44&lt;='Model inputs'!C38),'Model inputs'!M44&lt;='Model inputs'!C38,IF(OR('Model inputs'!M44="",'Model inputs'!C38=""),"",'Model inputs'!M44&lt;='Model inputs'!C38))="",FALSE,IF(ISERROR('Model inputs'!M44&lt;='Model inputs'!C38),'Model inputs'!M44&lt;='Model inputs'!C38,IF(OR('Model inputs'!M44="",'Model inputs'!C38=""),"",'Model inputs'!M44&lt;='Model inputs'!C38))),('Model inputs'!C50-'Model inputs'!C47)/'Model inputs'!C38,0)="",0,IF(IF(IF(ISERROR('Model inputs'!M44&lt;='Model inputs'!C38),'Model inputs'!M44&lt;='Model inputs'!C38,IF(OR('Model inputs'!M44="",'Model inputs'!C38=""),"",'Model inputs'!M44&lt;='Model inputs'!C38))="",FALSE,IF(ISERROR('Model inputs'!M44&lt;='Model inputs'!C38),'Model inputs'!M44&lt;='Model inputs'!C38,IF(OR('Model inputs'!M44="",'Model inputs'!C38=""),"",'Model inputs'!M44&lt;='Model inputs'!C38))),('Model inputs'!C50-'Model inputs'!C47)/'Model inputs'!C38,0))+'Model inputs'!M25*'Model inputs'!C53</f>
        <v>3.6333333333333337</v>
      </c>
      <c r="N18" s="8">
        <f>IF(IF(IF(IF(ISERROR('Model inputs'!N44&lt;='Model inputs'!C38),'Model inputs'!N44&lt;='Model inputs'!C38,IF(OR('Model inputs'!N44="",'Model inputs'!C38=""),"",'Model inputs'!N44&lt;='Model inputs'!C38))="",FALSE,IF(ISERROR('Model inputs'!N44&lt;='Model inputs'!C38),'Model inputs'!N44&lt;='Model inputs'!C38,IF(OR('Model inputs'!N44="",'Model inputs'!C38=""),"",'Model inputs'!N44&lt;='Model inputs'!C38))),('Model inputs'!C50-'Model inputs'!C47)/'Model inputs'!C38,0)="",0,IF(IF(IF(ISERROR('Model inputs'!N44&lt;='Model inputs'!C38),'Model inputs'!N44&lt;='Model inputs'!C38,IF(OR('Model inputs'!N44="",'Model inputs'!C38=""),"",'Model inputs'!N44&lt;='Model inputs'!C38))="",FALSE,IF(ISERROR('Model inputs'!N44&lt;='Model inputs'!C38),'Model inputs'!N44&lt;='Model inputs'!C38,IF(OR('Model inputs'!N44="",'Model inputs'!C38=""),"",'Model inputs'!N44&lt;='Model inputs'!C38))),('Model inputs'!C50-'Model inputs'!C47)/'Model inputs'!C38,0))+'Model inputs'!N25*'Model inputs'!C53</f>
        <v>3.666666666666667</v>
      </c>
      <c r="O18" s="8">
        <f>IF(IF(IF(IF(ISERROR('Model inputs'!O44&lt;='Model inputs'!C38),'Model inputs'!O44&lt;='Model inputs'!C38,IF(OR('Model inputs'!O44="",'Model inputs'!C38=""),"",'Model inputs'!O44&lt;='Model inputs'!C38))="",FALSE,IF(ISERROR('Model inputs'!O44&lt;='Model inputs'!C38),'Model inputs'!O44&lt;='Model inputs'!C38,IF(OR('Model inputs'!O44="",'Model inputs'!C38=""),"",'Model inputs'!O44&lt;='Model inputs'!C38))),('Model inputs'!C50-'Model inputs'!C47)/'Model inputs'!C38,0)="",0,IF(IF(IF(ISERROR('Model inputs'!O44&lt;='Model inputs'!C38),'Model inputs'!O44&lt;='Model inputs'!C38,IF(OR('Model inputs'!O44="",'Model inputs'!C38=""),"",'Model inputs'!O44&lt;='Model inputs'!C38))="",FALSE,IF(ISERROR('Model inputs'!O44&lt;='Model inputs'!C38),'Model inputs'!O44&lt;='Model inputs'!C38,IF(OR('Model inputs'!O44="",'Model inputs'!C38=""),"",'Model inputs'!O44&lt;='Model inputs'!C38))),('Model inputs'!C50-'Model inputs'!C47)/'Model inputs'!C38,0))+'Model inputs'!O25*'Model inputs'!C53</f>
        <v>3.7</v>
      </c>
      <c r="X18" s="8">
        <v>0</v>
      </c>
    </row>
    <row r="19">
      <c r="A19" t="inlineStr" s="19">
        <is>
          <t xml:space="preserve">Launch cash · TenantGuard unit economics · Main Scenario</t>
        </is>
      </c>
      <c r="B19" s="10">
        <f>'TenantGuard inputs'!B13</f>
        <v>900000</v>
      </c>
    </row>
    <row r="20">
      <c r="A20" t="inlineStr" s="19">
        <is>
          <t xml:space="preserve">Launch cash · TenantGuard three-case revenue ramp · Main Scenario</t>
        </is>
      </c>
      <c r="C20" s="10">
        <f>'TenantGuard inputs'!B13</f>
        <v>900000</v>
      </c>
    </row>
    <row r="21">
      <c r="A21" t="inlineStr" s="19">
        <is>
          <t xml:space="preserve">Launch cash · TenantGuard — High</t>
        </is>
      </c>
      <c r="C21" s="10">
        <f>'TenantGuard inputs'!B13</f>
        <v>900000</v>
      </c>
    </row>
    <row r="22">
      <c r="A22" t="inlineStr" s="19">
        <is>
          <t xml:space="preserve">Launch cash · TenantGuard — Low</t>
        </is>
      </c>
      <c r="C22" s="10">
        <f>'TenantGuard inputs'!B13</f>
        <v>900000</v>
      </c>
    </row>
    <row r="23">
      <c r="A23" t="inlineStr" s="19">
        <is>
          <t xml:space="preserve">Opening customers · TenantGuard three-case revenue ramp · Main Scenario</t>
        </is>
      </c>
      <c r="D23" s="8">
        <f>IF(IF(IF(ISERROR('Model inputs'!D42=1),'Model inputs'!D42=1,IF('Model inputs'!D42="","",'Model inputs'!D42=1))="",FALSE,IF(ISERROR('Model inputs'!D42=1),'Model inputs'!D42=1,IF('Model inputs'!D42="","",'Model inputs'!D42=1))),IF('Model inputs'!C45="","",'Model inputs'!C45),IF('Model inputs'!X33="","",'Model inputs'!X33))</f>
        <v>0</v>
      </c>
      <c r="E23" s="8">
        <f>IF(IF(IF(ISERROR('Model inputs'!E42=1),'Model inputs'!E42=1,IF('Model inputs'!E42="","",'Model inputs'!E42=1))="",FALSE,IF(ISERROR('Model inputs'!E42=1),'Model inputs'!E42=1,IF('Model inputs'!E42="","",'Model inputs'!E42=1))),IF('Model inputs'!C45="","",'Model inputs'!C45),IF('Model inputs'!D33="","",'Model inputs'!D33))</f>
        <v>10</v>
      </c>
      <c r="F23" s="8">
        <f>IF(IF(IF(ISERROR('Model inputs'!F42=1),'Model inputs'!F42=1,IF('Model inputs'!F42="","",'Model inputs'!F42=1))="",FALSE,IF(ISERROR('Model inputs'!F42=1),'Model inputs'!F42=1,IF('Model inputs'!F42="","",'Model inputs'!F42=1))),IF('Model inputs'!C45="","",'Model inputs'!C45),IF('Model inputs'!E33="","",'Model inputs'!E33))</f>
        <v>20</v>
      </c>
      <c r="G23" s="8">
        <f>IF(IF(IF(ISERROR('Model inputs'!G42=1),'Model inputs'!G42=1,IF('Model inputs'!G42="","",'Model inputs'!G42=1))="",FALSE,IF(ISERROR('Model inputs'!G42=1),'Model inputs'!G42=1,IF('Model inputs'!G42="","",'Model inputs'!G42=1))),IF('Model inputs'!C45="","",'Model inputs'!C45),IF('Model inputs'!F33="","",'Model inputs'!F33))</f>
        <v>30</v>
      </c>
      <c r="H23" s="8">
        <f>IF(IF(IF(ISERROR('Model inputs'!H42=1),'Model inputs'!H42=1,IF('Model inputs'!H42="","",'Model inputs'!H42=1))="",FALSE,IF(ISERROR('Model inputs'!H42=1),'Model inputs'!H42=1,IF('Model inputs'!H42="","",'Model inputs'!H42=1))),IF('Model inputs'!C45="","",'Model inputs'!C45),IF('Model inputs'!G33="","",'Model inputs'!G33))</f>
        <v>40</v>
      </c>
      <c r="I23" s="8">
        <f>IF(IF(IF(ISERROR('Model inputs'!I42=1),'Model inputs'!I42=1,IF('Model inputs'!I42="","",'Model inputs'!I42=1))="",FALSE,IF(ISERROR('Model inputs'!I42=1),'Model inputs'!I42=1,IF('Model inputs'!I42="","",'Model inputs'!I42=1))),IF('Model inputs'!C45="","",'Model inputs'!C45),IF('Model inputs'!H33="","",'Model inputs'!H33))</f>
        <v>50</v>
      </c>
      <c r="J23" s="8">
        <f>IF(IF(IF(ISERROR('Model inputs'!J42=1),'Model inputs'!J42=1,IF('Model inputs'!J42="","",'Model inputs'!J42=1))="",FALSE,IF(ISERROR('Model inputs'!J42=1),'Model inputs'!J42=1,IF('Model inputs'!J42="","",'Model inputs'!J42=1))),IF('Model inputs'!C45="","",'Model inputs'!C45),IF('Model inputs'!I33="","",'Model inputs'!I33))</f>
        <v>60</v>
      </c>
      <c r="K23" s="8">
        <f>IF(IF(IF(ISERROR('Model inputs'!K42=1),'Model inputs'!K42=1,IF('Model inputs'!K42="","",'Model inputs'!K42=1))="",FALSE,IF(ISERROR('Model inputs'!K42=1),'Model inputs'!K42=1,IF('Model inputs'!K42="","",'Model inputs'!K42=1))),IF('Model inputs'!C45="","",'Model inputs'!C45),IF('Model inputs'!J33="","",'Model inputs'!J33))</f>
        <v>70</v>
      </c>
      <c r="L23" s="8">
        <f>IF(IF(IF(ISERROR('Model inputs'!L42=1),'Model inputs'!L42=1,IF('Model inputs'!L42="","",'Model inputs'!L42=1))="",FALSE,IF(ISERROR('Model inputs'!L42=1),'Model inputs'!L42=1,IF('Model inputs'!L42="","",'Model inputs'!L42=1))),IF('Model inputs'!C45="","",'Model inputs'!C45),IF('Model inputs'!K33="","",'Model inputs'!K33))</f>
        <v>80</v>
      </c>
      <c r="M23" s="8">
        <f>IF(IF(IF(ISERROR('Model inputs'!M42=1),'Model inputs'!M42=1,IF('Model inputs'!M42="","",'Model inputs'!M42=1))="",FALSE,IF(ISERROR('Model inputs'!M42=1),'Model inputs'!M42=1,IF('Model inputs'!M42="","",'Model inputs'!M42=1))),IF('Model inputs'!C45="","",'Model inputs'!C45),IF('Model inputs'!L33="","",'Model inputs'!L33))</f>
        <v>90</v>
      </c>
      <c r="N23" s="8">
        <f>IF(IF(IF(ISERROR('Model inputs'!N42=1),'Model inputs'!N42=1,IF('Model inputs'!N42="","",'Model inputs'!N42=1))="",FALSE,IF(ISERROR('Model inputs'!N42=1),'Model inputs'!N42=1,IF('Model inputs'!N42="","",'Model inputs'!N42=1))),IF('Model inputs'!C45="","",'Model inputs'!C45),IF('Model inputs'!M33="","",'Model inputs'!M33))</f>
        <v>100</v>
      </c>
      <c r="O23" s="8">
        <f>IF(IF(IF(ISERROR('Model inputs'!O42=1),'Model inputs'!O42=1,IF('Model inputs'!O42="","",'Model inputs'!O42=1))="",FALSE,IF(ISERROR('Model inputs'!O42=1),'Model inputs'!O42=1,IF('Model inputs'!O42="","",'Model inputs'!O42=1))),IF('Model inputs'!C45="","",'Model inputs'!C45),IF('Model inputs'!N33="","",'Model inputs'!N33))</f>
        <v>110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>
      <c r="A24" t="inlineStr" s="19">
        <is>
          <t xml:space="preserve">Opening customers · TenantGuard — High</t>
        </is>
      </c>
      <c r="D24" s="8">
        <f>IF(IF(IF(ISERROR('Model inputs'!D43=1),'Model inputs'!D43=1,IF('Model inputs'!D43="","",'Model inputs'!D43=1))="",FALSE,IF(ISERROR('Model inputs'!D43=1),'Model inputs'!D43=1,IF('Model inputs'!D43="","",'Model inputs'!D43=1))),IF('Model inputs'!C46="","",'Model inputs'!C46),IF('Model inputs'!X40="","",'Model inputs'!X40))</f>
        <v>0</v>
      </c>
      <c r="E24" s="8">
        <f>IF(IF(IF(ISERROR('Model inputs'!E43=1),'Model inputs'!E43=1,IF('Model inputs'!E43="","",'Model inputs'!E43=1))="",FALSE,IF(ISERROR('Model inputs'!E43=1),'Model inputs'!E43=1,IF('Model inputs'!E43="","",'Model inputs'!E43=1))),IF('Model inputs'!C46="","",'Model inputs'!C46),IF('Model inputs'!D40="","",'Model inputs'!D40))</f>
        <v>21.666666666666668</v>
      </c>
      <c r="F24" s="8">
        <f>IF(IF(IF(ISERROR('Model inputs'!F43=1),'Model inputs'!F43=1,IF('Model inputs'!F43="","",'Model inputs'!F43=1))="",FALSE,IF(ISERROR('Model inputs'!F43=1),'Model inputs'!F43=1,IF('Model inputs'!F43="","",'Model inputs'!F43=1))),IF('Model inputs'!C46="","",'Model inputs'!C46),IF('Model inputs'!E40="","",'Model inputs'!E40))</f>
        <v>43.33333333333333</v>
      </c>
      <c r="G24" s="8">
        <f>IF(IF(IF(ISERROR('Model inputs'!G43=1),'Model inputs'!G43=1,IF('Model inputs'!G43="","",'Model inputs'!G43=1))="",FALSE,IF(ISERROR('Model inputs'!G43=1),'Model inputs'!G43=1,IF('Model inputs'!G43="","",'Model inputs'!G43=1))),IF('Model inputs'!C46="","",'Model inputs'!C46),IF('Model inputs'!F40="","",'Model inputs'!F40))</f>
        <v>65</v>
      </c>
      <c r="H24" s="8">
        <f>IF(IF(IF(ISERROR('Model inputs'!H43=1),'Model inputs'!H43=1,IF('Model inputs'!H43="","",'Model inputs'!H43=1))="",FALSE,IF(ISERROR('Model inputs'!H43=1),'Model inputs'!H43=1,IF('Model inputs'!H43="","",'Model inputs'!H43=1))),IF('Model inputs'!C46="","",'Model inputs'!C46),IF('Model inputs'!G40="","",'Model inputs'!G40))</f>
        <v>86.66666666666666</v>
      </c>
      <c r="I24" s="8">
        <f>IF(IF(IF(ISERROR('Model inputs'!I43=1),'Model inputs'!I43=1,IF('Model inputs'!I43="","",'Model inputs'!I43=1))="",FALSE,IF(ISERROR('Model inputs'!I43=1),'Model inputs'!I43=1,IF('Model inputs'!I43="","",'Model inputs'!I43=1))),IF('Model inputs'!C46="","",'Model inputs'!C46),IF('Model inputs'!H40="","",'Model inputs'!H40))</f>
        <v>108.33333333333333</v>
      </c>
      <c r="J24" s="8">
        <f>IF(IF(IF(ISERROR('Model inputs'!J43=1),'Model inputs'!J43=1,IF('Model inputs'!J43="","",'Model inputs'!J43=1))="",FALSE,IF(ISERROR('Model inputs'!J43=1),'Model inputs'!J43=1,IF('Model inputs'!J43="","",'Model inputs'!J43=1))),IF('Model inputs'!C46="","",'Model inputs'!C46),IF('Model inputs'!I40="","",'Model inputs'!I40))</f>
        <v>129.99999999999997</v>
      </c>
      <c r="K24" s="8">
        <f>IF(IF(IF(ISERROR('Model inputs'!K43=1),'Model inputs'!K43=1,IF('Model inputs'!K43="","",'Model inputs'!K43=1))="",FALSE,IF(ISERROR('Model inputs'!K43=1),'Model inputs'!K43=1,IF('Model inputs'!K43="","",'Model inputs'!K43=1))),IF('Model inputs'!C46="","",'Model inputs'!C46),IF('Model inputs'!J40="","",'Model inputs'!J40))</f>
        <v>151.66666666666663</v>
      </c>
      <c r="L24" s="8">
        <f>IF(IF(IF(ISERROR('Model inputs'!L43=1),'Model inputs'!L43=1,IF('Model inputs'!L43="","",'Model inputs'!L43=1))="",FALSE,IF(ISERROR('Model inputs'!L43=1),'Model inputs'!L43=1,IF('Model inputs'!L43="","",'Model inputs'!L43=1))),IF('Model inputs'!C46="","",'Model inputs'!C46),IF('Model inputs'!K40="","",'Model inputs'!K40))</f>
        <v>173.3333333333333</v>
      </c>
      <c r="M24" s="8">
        <f>IF(IF(IF(ISERROR('Model inputs'!M43=1),'Model inputs'!M43=1,IF('Model inputs'!M43="","",'Model inputs'!M43=1))="",FALSE,IF(ISERROR('Model inputs'!M43=1),'Model inputs'!M43=1,IF('Model inputs'!M43="","",'Model inputs'!M43=1))),IF('Model inputs'!C46="","",'Model inputs'!C46),IF('Model inputs'!L40="","",'Model inputs'!L40))</f>
        <v>194.99999999999997</v>
      </c>
      <c r="N24" s="8">
        <f>IF(IF(IF(ISERROR('Model inputs'!N43=1),'Model inputs'!N43=1,IF('Model inputs'!N43="","",'Model inputs'!N43=1))="",FALSE,IF(ISERROR('Model inputs'!N43=1),'Model inputs'!N43=1,IF('Model inputs'!N43="","",'Model inputs'!N43=1))),IF('Model inputs'!C46="","",'Model inputs'!C46),IF('Model inputs'!M40="","",'Model inputs'!M40))</f>
        <v>216.66666666666666</v>
      </c>
      <c r="O24" s="8">
        <f>IF(IF(IF(ISERROR('Model inputs'!O43=1),'Model inputs'!O43=1,IF('Model inputs'!O43="","",'Model inputs'!O43=1))="",FALSE,IF(ISERROR('Model inputs'!O43=1),'Model inputs'!O43=1,IF('Model inputs'!O43="","",'Model inputs'!O43=1))),IF('Model inputs'!C46="","",'Model inputs'!C46),IF('Model inputs'!N40="","",'Model inputs'!N40))</f>
        <v>238.33333333333334</v>
      </c>
      <c r="X24" s="8">
        <v>0</v>
      </c>
    </row>
    <row r="25">
      <c r="A25" t="inlineStr" s="19">
        <is>
          <t xml:space="preserve">Opening customers · TenantGuard — Low</t>
        </is>
      </c>
      <c r="D25" s="8">
        <f>IF(IF(IF(ISERROR('Model inputs'!D44=1),'Model inputs'!D44=1,IF('Model inputs'!D44="","",'Model inputs'!D44=1))="",FALSE,IF(ISERROR('Model inputs'!D44=1),'Model inputs'!D44=1,IF('Model inputs'!D44="","",'Model inputs'!D44=1))),IF('Model inputs'!C47="","",'Model inputs'!C47),IF('Model inputs'!X41="","",'Model inputs'!X41))</f>
        <v>0</v>
      </c>
      <c r="E25" s="8">
        <f>IF(IF(IF(ISERROR('Model inputs'!E44=1),'Model inputs'!E44=1,IF('Model inputs'!E44="","",'Model inputs'!E44=1))="",FALSE,IF(ISERROR('Model inputs'!E44=1),'Model inputs'!E44=1,IF('Model inputs'!E44="","",'Model inputs'!E44=1))),IF('Model inputs'!C47="","",'Model inputs'!C47),IF('Model inputs'!D41="","",'Model inputs'!D41))</f>
        <v>3.3333333333333335</v>
      </c>
      <c r="F25" s="8">
        <f>IF(IF(IF(ISERROR('Model inputs'!F44=1),'Model inputs'!F44=1,IF('Model inputs'!F44="","",'Model inputs'!F44=1))="",FALSE,IF(ISERROR('Model inputs'!F44=1),'Model inputs'!F44=1,IF('Model inputs'!F44="","",'Model inputs'!F44=1))),IF('Model inputs'!C47="","",'Model inputs'!C47),IF('Model inputs'!E41="","",'Model inputs'!E41))</f>
        <v>6.666666666666667</v>
      </c>
      <c r="G25" s="8">
        <f>IF(IF(IF(ISERROR('Model inputs'!G44=1),'Model inputs'!G44=1,IF('Model inputs'!G44="","",'Model inputs'!G44=1))="",FALSE,IF(ISERROR('Model inputs'!G44=1),'Model inputs'!G44=1,IF('Model inputs'!G44="","",'Model inputs'!G44=1))),IF('Model inputs'!C47="","",'Model inputs'!C47),IF('Model inputs'!F41="","",'Model inputs'!F41))</f>
        <v>10</v>
      </c>
      <c r="H25" s="8">
        <f>IF(IF(IF(ISERROR('Model inputs'!H44=1),'Model inputs'!H44=1,IF('Model inputs'!H44="","",'Model inputs'!H44=1))="",FALSE,IF(ISERROR('Model inputs'!H44=1),'Model inputs'!H44=1,IF('Model inputs'!H44="","",'Model inputs'!H44=1))),IF('Model inputs'!C47="","",'Model inputs'!C47),IF('Model inputs'!G41="","",'Model inputs'!G41))</f>
        <v>13.333333333333334</v>
      </c>
      <c r="I25" s="8">
        <f>IF(IF(IF(ISERROR('Model inputs'!I44=1),'Model inputs'!I44=1,IF('Model inputs'!I44="","",'Model inputs'!I44=1))="",FALSE,IF(ISERROR('Model inputs'!I44=1),'Model inputs'!I44=1,IF('Model inputs'!I44="","",'Model inputs'!I44=1))),IF('Model inputs'!C47="","",'Model inputs'!C47),IF('Model inputs'!H41="","",'Model inputs'!H41))</f>
        <v>16.666666666666668</v>
      </c>
      <c r="J25" s="8">
        <f>IF(IF(IF(ISERROR('Model inputs'!J44=1),'Model inputs'!J44=1,IF('Model inputs'!J44="","",'Model inputs'!J44=1))="",FALSE,IF(ISERROR('Model inputs'!J44=1),'Model inputs'!J44=1,IF('Model inputs'!J44="","",'Model inputs'!J44=1))),IF('Model inputs'!C47="","",'Model inputs'!C47),IF('Model inputs'!I41="","",'Model inputs'!I41))</f>
        <v>20</v>
      </c>
      <c r="K25" s="8">
        <f>IF(IF(IF(ISERROR('Model inputs'!K44=1),'Model inputs'!K44=1,IF('Model inputs'!K44="","",'Model inputs'!K44=1))="",FALSE,IF(ISERROR('Model inputs'!K44=1),'Model inputs'!K44=1,IF('Model inputs'!K44="","",'Model inputs'!K44=1))),IF('Model inputs'!C47="","",'Model inputs'!C47),IF('Model inputs'!J41="","",'Model inputs'!J41))</f>
        <v>23.333333333333336</v>
      </c>
      <c r="L25" s="8">
        <f>IF(IF(IF(ISERROR('Model inputs'!L44=1),'Model inputs'!L44=1,IF('Model inputs'!L44="","",'Model inputs'!L44=1))="",FALSE,IF(ISERROR('Model inputs'!L44=1),'Model inputs'!L44=1,IF('Model inputs'!L44="","",'Model inputs'!L44=1))),IF('Model inputs'!C47="","",'Model inputs'!C47),IF('Model inputs'!K41="","",'Model inputs'!K41))</f>
        <v>26.666666666666668</v>
      </c>
      <c r="M25" s="8">
        <f>IF(IF(IF(ISERROR('Model inputs'!M44=1),'Model inputs'!M44=1,IF('Model inputs'!M44="","",'Model inputs'!M44=1))="",FALSE,IF(ISERROR('Model inputs'!M44=1),'Model inputs'!M44=1,IF('Model inputs'!M44="","",'Model inputs'!M44=1))),IF('Model inputs'!C47="","",'Model inputs'!C47),IF('Model inputs'!L41="","",'Model inputs'!L41))</f>
        <v>30.000000000000004</v>
      </c>
      <c r="N25" s="8">
        <f>IF(IF(IF(ISERROR('Model inputs'!N44=1),'Model inputs'!N44=1,IF('Model inputs'!N44="","",'Model inputs'!N44=1))="",FALSE,IF(ISERROR('Model inputs'!N44=1),'Model inputs'!N44=1,IF('Model inputs'!N44="","",'Model inputs'!N44=1))),IF('Model inputs'!C47="","",'Model inputs'!C47),IF('Model inputs'!M41="","",'Model inputs'!M41))</f>
        <v>33.33333333333334</v>
      </c>
      <c r="O25" s="8">
        <f>IF(IF(IF(ISERROR('Model inputs'!O44=1),'Model inputs'!O44=1,IF('Model inputs'!O44="","",'Model inputs'!O44=1))="",FALSE,IF(ISERROR('Model inputs'!O44=1),'Model inputs'!O44=1,IF('Model inputs'!O44="","",'Model inputs'!O44=1))),IF('Model inputs'!C47="","",'Model inputs'!C47),IF('Model inputs'!N41="","",'Model inputs'!N41))</f>
        <v>36.66666666666667</v>
      </c>
      <c r="X25" s="8">
        <v>0</v>
      </c>
    </row>
    <row r="26">
      <c r="A26" t="inlineStr" s="19">
        <is>
          <t xml:space="preserve">TenantGuard ending cash · TenantGuard unit economics · Main Scenario</t>
        </is>
      </c>
      <c r="D26" s="10">
        <f>IF(IF(DATE(2026,10,1)=DATE(2026,10,1),IF('Model inputs'!B19="","",'Model inputs'!B19),IF('Model inputs'!X26="","",'Model inputs'!X26))="",0,IF(DATE(2026,10,1)=DATE(2026,10,1),IF('Model inputs'!B19="","",'Model inputs'!B19),IF('Model inputs'!X26="","",'Model inputs'!X26)))+'Model inputs'!D29</f>
        <v>856457.5</v>
      </c>
      <c r="E26" s="10">
        <f>IF(IF(DATE(2026,11,1)=DATE(2026,10,1),IF('Model inputs'!B19="","",'Model inputs'!B19),IF('Model inputs'!D26="","",'Model inputs'!D26))="",0,IF(DATE(2026,11,1)=DATE(2026,10,1),IF('Model inputs'!B19="","",'Model inputs'!B19),IF('Model inputs'!D26="","",'Model inputs'!D26)))+'Model inputs'!E29</f>
        <v>819372.5</v>
      </c>
      <c r="F26" s="10">
        <f>IF(IF(DATE(2026,12,1)=DATE(2026,10,1),IF('Model inputs'!B19="","",'Model inputs'!B19),IF('Model inputs'!E26="","",'Model inputs'!E26))="",0,IF(DATE(2026,12,1)=DATE(2026,10,1),IF('Model inputs'!B19="","",'Model inputs'!B19),IF('Model inputs'!E26="","",'Model inputs'!E26)))+'Model inputs'!F29</f>
        <v>788745</v>
      </c>
      <c r="G26" s="10">
        <f>IF(IF(DATE(2027,1,1)=DATE(2026,10,1),IF('Model inputs'!B19="","",'Model inputs'!B19),IF('Model inputs'!F26="","",'Model inputs'!F26))="",0,IF(DATE(2027,1,1)=DATE(2026,10,1),IF('Model inputs'!B19="","",'Model inputs'!B19),IF('Model inputs'!F26="","",'Model inputs'!F26)))+'Model inputs'!G29</f>
        <v>764575</v>
      </c>
      <c r="H26" s="10">
        <f>IF(IF(DATE(2027,2,1)=DATE(2026,10,1),IF('Model inputs'!B19="","",'Model inputs'!B19),IF('Model inputs'!G26="","",'Model inputs'!G26))="",0,IF(DATE(2027,2,1)=DATE(2026,10,1),IF('Model inputs'!B19="","",'Model inputs'!B19),IF('Model inputs'!G26="","",'Model inputs'!G26)))+'Model inputs'!H29</f>
        <v>746862.5</v>
      </c>
      <c r="I26" s="10">
        <f>IF(IF(DATE(2027,3,1)=DATE(2026,10,1),IF('Model inputs'!B19="","",'Model inputs'!B19),IF('Model inputs'!H26="","",'Model inputs'!H26))="",0,IF(DATE(2027,3,1)=DATE(2026,10,1),IF('Model inputs'!B19="","",'Model inputs'!B19),IF('Model inputs'!H26="","",'Model inputs'!H26)))+'Model inputs'!I29</f>
        <v>735607.5</v>
      </c>
      <c r="J26" s="10">
        <f>IF(IF(DATE(2027,4,1)=DATE(2026,10,1),IF('Model inputs'!B19="","",'Model inputs'!B19),IF('Model inputs'!I26="","",'Model inputs'!I26))="",0,IF(DATE(2027,4,1)=DATE(2026,10,1),IF('Model inputs'!B19="","",'Model inputs'!B19),IF('Model inputs'!I26="","",'Model inputs'!I26)))+'Model inputs'!J29</f>
        <v>730810</v>
      </c>
      <c r="K26" s="10">
        <f>IF(IF(DATE(2027,5,1)=DATE(2026,10,1),IF('Model inputs'!B19="","",'Model inputs'!B19),IF('Model inputs'!J26="","",'Model inputs'!J26))="",0,IF(DATE(2027,5,1)=DATE(2026,10,1),IF('Model inputs'!B19="","",'Model inputs'!B19),IF('Model inputs'!J26="","",'Model inputs'!J26)))+'Model inputs'!K29</f>
        <v>732470</v>
      </c>
      <c r="L26" s="10">
        <f>IF(IF(DATE(2027,6,1)=DATE(2026,10,1),IF('Model inputs'!B19="","",'Model inputs'!B19),IF('Model inputs'!K26="","",'Model inputs'!K26))="",0,IF(DATE(2027,6,1)=DATE(2026,10,1),IF('Model inputs'!B19="","",'Model inputs'!B19),IF('Model inputs'!K26="","",'Model inputs'!K26)))+'Model inputs'!L29</f>
        <v>740587.5</v>
      </c>
      <c r="M26" s="10">
        <f>IF(IF(DATE(2027,7,1)=DATE(2026,10,1),IF('Model inputs'!B19="","",'Model inputs'!B19),IF('Model inputs'!L26="","",'Model inputs'!L26))="",0,IF(DATE(2027,7,1)=DATE(2026,10,1),IF('Model inputs'!B19="","",'Model inputs'!B19),IF('Model inputs'!L26="","",'Model inputs'!L26)))+'Model inputs'!M29</f>
        <v>755162.5</v>
      </c>
      <c r="N26" s="10">
        <f>IF(IF(DATE(2027,8,1)=DATE(2026,10,1),IF('Model inputs'!B19="","",'Model inputs'!B19),IF('Model inputs'!M26="","",'Model inputs'!M26))="",0,IF(DATE(2027,8,1)=DATE(2026,10,1),IF('Model inputs'!B19="","",'Model inputs'!B19),IF('Model inputs'!M26="","",'Model inputs'!M26)))+'Model inputs'!N29</f>
        <v>776195</v>
      </c>
      <c r="O26" s="10">
        <f>IF(IF(DATE(2027,9,1)=DATE(2026,10,1),IF('Model inputs'!B19="","",'Model inputs'!B19),IF('Model inputs'!N26="","",'Model inputs'!N26))="",0,IF(DATE(2027,9,1)=DATE(2026,10,1),IF('Model inputs'!B19="","",'Model inputs'!B19),IF('Model inputs'!N26="","",'Model inputs'!N26)))+'Model inputs'!O29</f>
        <v>803685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</row>
    <row r="27">
      <c r="A27" t="inlineStr" s="19">
        <is>
          <t xml:space="preserve">TenantGuard ending cash · TenantGuard — High</t>
        </is>
      </c>
      <c r="D27" s="10">
        <f>IF(IF(DATE(2026,10,1)=DATE(2026,10,1),IF('Model inputs'!C21="","",'Model inputs'!C21),IF('Model inputs'!X27="","",'Model inputs'!X27))="",0,IF(DATE(2026,10,1)=DATE(2026,10,1),IF('Model inputs'!C21="","",'Model inputs'!C21),IF('Model inputs'!X27="","",'Model inputs'!X27)))+'Model inputs'!D30</f>
        <v>868330</v>
      </c>
      <c r="E27" s="10">
        <f>IF(IF(DATE(2026,11,1)=DATE(2026,10,1),IF('Model inputs'!C21="","",'Model inputs'!C21),IF('Model inputs'!D27="","",'Model inputs'!D27))="",0,IF(DATE(2026,11,1)=DATE(2026,10,1),IF('Model inputs'!C21="","",'Model inputs'!C21),IF('Model inputs'!D27="","",'Model inputs'!D27)))+'Model inputs'!E30</f>
        <v>854990</v>
      </c>
      <c r="F27" s="10">
        <f>IF(IF(DATE(2026,12,1)=DATE(2026,10,1),IF('Model inputs'!C21="","",'Model inputs'!C21),IF('Model inputs'!E27="","",'Model inputs'!E27))="",0,IF(DATE(2026,12,1)=DATE(2026,10,1),IF('Model inputs'!C21="","",'Model inputs'!C21),IF('Model inputs'!E27="","",'Model inputs'!E27)))+'Model inputs'!F30</f>
        <v>859980</v>
      </c>
      <c r="G27" s="10">
        <f>IF(IF(DATE(2027,1,1)=DATE(2026,10,1),IF('Model inputs'!C21="","",'Model inputs'!C21),IF('Model inputs'!F27="","",'Model inputs'!F27))="",0,IF(DATE(2027,1,1)=DATE(2026,10,1),IF('Model inputs'!C21="","",'Model inputs'!C21),IF('Model inputs'!F27="","",'Model inputs'!F27)))+'Model inputs'!G30</f>
        <v>883300</v>
      </c>
      <c r="H27" s="10">
        <f>IF(IF(DATE(2027,2,1)=DATE(2026,10,1),IF('Model inputs'!C21="","",'Model inputs'!C21),IF('Model inputs'!G27="","",'Model inputs'!G27))="",0,IF(DATE(2027,2,1)=DATE(2026,10,1),IF('Model inputs'!C21="","",'Model inputs'!C21),IF('Model inputs'!G27="","",'Model inputs'!G27)))+'Model inputs'!H30</f>
        <v>924950</v>
      </c>
      <c r="I27" s="10">
        <f>IF(IF(DATE(2027,3,1)=DATE(2026,10,1),IF('Model inputs'!C21="","",'Model inputs'!C21),IF('Model inputs'!H27="","",'Model inputs'!H27))="",0,IF(DATE(2027,3,1)=DATE(2026,10,1),IF('Model inputs'!C21="","",'Model inputs'!C21),IF('Model inputs'!H27="","",'Model inputs'!H27)))+'Model inputs'!I30</f>
        <v>984930</v>
      </c>
      <c r="J27" s="10">
        <f>IF(IF(DATE(2027,4,1)=DATE(2026,10,1),IF('Model inputs'!C21="","",'Model inputs'!C21),IF('Model inputs'!I27="","",'Model inputs'!I27))="",0,IF(DATE(2027,4,1)=DATE(2026,10,1),IF('Model inputs'!C21="","",'Model inputs'!C21),IF('Model inputs'!I27="","",'Model inputs'!I27)))+'Model inputs'!J30</f>
        <v>1063240</v>
      </c>
      <c r="K27" s="10">
        <f>IF(IF(DATE(2027,5,1)=DATE(2026,10,1),IF('Model inputs'!C21="","",'Model inputs'!C21),IF('Model inputs'!J27="","",'Model inputs'!J27))="",0,IF(DATE(2027,5,1)=DATE(2026,10,1),IF('Model inputs'!C21="","",'Model inputs'!C21),IF('Model inputs'!J27="","",'Model inputs'!J27)))+'Model inputs'!K30</f>
        <v>1159880</v>
      </c>
      <c r="L27" s="10">
        <f>IF(IF(DATE(2027,6,1)=DATE(2026,10,1),IF('Model inputs'!C21="","",'Model inputs'!C21),IF('Model inputs'!K27="","",'Model inputs'!K27))="",0,IF(DATE(2027,6,1)=DATE(2026,10,1),IF('Model inputs'!C21="","",'Model inputs'!C21),IF('Model inputs'!K27="","",'Model inputs'!K27)))+'Model inputs'!L30</f>
        <v>1274850</v>
      </c>
      <c r="M27" s="10">
        <f>IF(IF(DATE(2027,7,1)=DATE(2026,10,1),IF('Model inputs'!C21="","",'Model inputs'!C21),IF('Model inputs'!L27="","",'Model inputs'!L27))="",0,IF(DATE(2027,7,1)=DATE(2026,10,1),IF('Model inputs'!C21="","",'Model inputs'!C21),IF('Model inputs'!L27="","",'Model inputs'!L27)))+'Model inputs'!M30</f>
        <v>1408150</v>
      </c>
      <c r="N27" s="10">
        <f>IF(IF(DATE(2027,8,1)=DATE(2026,10,1),IF('Model inputs'!C21="","",'Model inputs'!C21),IF('Model inputs'!M27="","",'Model inputs'!M27))="",0,IF(DATE(2027,8,1)=DATE(2026,10,1),IF('Model inputs'!C21="","",'Model inputs'!C21),IF('Model inputs'!M27="","",'Model inputs'!M27)))+'Model inputs'!N30</f>
        <v>1559780</v>
      </c>
      <c r="O27" s="10">
        <f>IF(IF(DATE(2027,9,1)=DATE(2026,10,1),IF('Model inputs'!C21="","",'Model inputs'!C21),IF('Model inputs'!N27="","",'Model inputs'!N27))="",0,IF(DATE(2027,9,1)=DATE(2026,10,1),IF('Model inputs'!C21="","",'Model inputs'!C21),IF('Model inputs'!N27="","",'Model inputs'!N27)))+'Model inputs'!O30</f>
        <v>1729740</v>
      </c>
      <c r="X27" s="10">
        <v>0</v>
      </c>
    </row>
    <row r="28">
      <c r="A28" t="inlineStr" s="19">
        <is>
          <t xml:space="preserve">TenantGuard ending cash · TenantGuard — Low</t>
        </is>
      </c>
      <c r="D28" s="10">
        <f>IF(IF(DATE(2026,10,1)=DATE(2026,10,1),IF('Model inputs'!C22="","",'Model inputs'!C22),IF('Model inputs'!X28="","",'Model inputs'!X28))="",0,IF(DATE(2026,10,1)=DATE(2026,10,1),IF('Model inputs'!C22="","",'Model inputs'!C22),IF('Model inputs'!X28="","",'Model inputs'!X28)))+'Model inputs'!D31</f>
        <v>851481.6666666666</v>
      </c>
      <c r="E28" s="10">
        <f>IF(IF(DATE(2026,11,1)=DATE(2026,10,1),IF('Model inputs'!C22="","",'Model inputs'!C22),IF('Model inputs'!D28="","",'Model inputs'!D28))="",0,IF(DATE(2026,11,1)=DATE(2026,10,1),IF('Model inputs'!C22="","",'Model inputs'!C22),IF('Model inputs'!D28="","",'Model inputs'!D28)))+'Model inputs'!E31</f>
        <v>804445</v>
      </c>
      <c r="F28" s="10">
        <f>IF(IF(DATE(2026,12,1)=DATE(2026,10,1),IF('Model inputs'!C22="","",'Model inputs'!C22),IF('Model inputs'!E28="","",'Model inputs'!E28))="",0,IF(DATE(2026,12,1)=DATE(2026,10,1),IF('Model inputs'!C22="","",'Model inputs'!C22),IF('Model inputs'!E28="","",'Model inputs'!E28)))+'Model inputs'!F31</f>
        <v>758890</v>
      </c>
      <c r="G28" s="10">
        <f>IF(IF(DATE(2027,1,1)=DATE(2026,10,1),IF('Model inputs'!C22="","",'Model inputs'!C22),IF('Model inputs'!F28="","",'Model inputs'!F28))="",0,IF(DATE(2027,1,1)=DATE(2026,10,1),IF('Model inputs'!C22="","",'Model inputs'!C22),IF('Model inputs'!F28="","",'Model inputs'!F28)))+'Model inputs'!G31</f>
        <v>714816.6666666666</v>
      </c>
      <c r="H28" s="10">
        <f>IF(IF(DATE(2027,2,1)=DATE(2026,10,1),IF('Model inputs'!C22="","",'Model inputs'!C22),IF('Model inputs'!G28="","",'Model inputs'!G28))="",0,IF(DATE(2027,2,1)=DATE(2026,10,1),IF('Model inputs'!C22="","",'Model inputs'!C22),IF('Model inputs'!G28="","",'Model inputs'!G28)))+'Model inputs'!H31</f>
        <v>672225</v>
      </c>
      <c r="I28" s="10">
        <f>IF(IF(DATE(2027,3,1)=DATE(2026,10,1),IF('Model inputs'!C22="","",'Model inputs'!C22),IF('Model inputs'!H28="","",'Model inputs'!H28))="",0,IF(DATE(2027,3,1)=DATE(2026,10,1),IF('Model inputs'!C22="","",'Model inputs'!C22),IF('Model inputs'!H28="","",'Model inputs'!H28)))+'Model inputs'!I31</f>
        <v>631115</v>
      </c>
      <c r="J28" s="10">
        <f>IF(IF(DATE(2027,4,1)=DATE(2026,10,1),IF('Model inputs'!C22="","",'Model inputs'!C22),IF('Model inputs'!I28="","",'Model inputs'!I28))="",0,IF(DATE(2027,4,1)=DATE(2026,10,1),IF('Model inputs'!C22="","",'Model inputs'!C22),IF('Model inputs'!I28="","",'Model inputs'!I28)))+'Model inputs'!J31</f>
        <v>591486.6666666666</v>
      </c>
      <c r="K28" s="10">
        <f>IF(IF(DATE(2027,5,1)=DATE(2026,10,1),IF('Model inputs'!C22="","",'Model inputs'!C22),IF('Model inputs'!J28="","",'Model inputs'!J28))="",0,IF(DATE(2027,5,1)=DATE(2026,10,1),IF('Model inputs'!C22="","",'Model inputs'!C22),IF('Model inputs'!J28="","",'Model inputs'!J28)))+'Model inputs'!K31</f>
        <v>553340</v>
      </c>
      <c r="L28" s="10">
        <f>IF(IF(DATE(2027,6,1)=DATE(2026,10,1),IF('Model inputs'!C22="","",'Model inputs'!C22),IF('Model inputs'!K28="","",'Model inputs'!K28))="",0,IF(DATE(2027,6,1)=DATE(2026,10,1),IF('Model inputs'!C22="","",'Model inputs'!C22),IF('Model inputs'!K28="","",'Model inputs'!K28)))+'Model inputs'!L31</f>
        <v>516675</v>
      </c>
      <c r="M28" s="10">
        <f>IF(IF(DATE(2027,7,1)=DATE(2026,10,1),IF('Model inputs'!C22="","",'Model inputs'!C22),IF('Model inputs'!L28="","",'Model inputs'!L28))="",0,IF(DATE(2027,7,1)=DATE(2026,10,1),IF('Model inputs'!C22="","",'Model inputs'!C22),IF('Model inputs'!L28="","",'Model inputs'!L28)))+'Model inputs'!M31</f>
        <v>481491.6666666667</v>
      </c>
      <c r="N28" s="10">
        <f>IF(IF(DATE(2027,8,1)=DATE(2026,10,1),IF('Model inputs'!C22="","",'Model inputs'!C22),IF('Model inputs'!M28="","",'Model inputs'!M28))="",0,IF(DATE(2027,8,1)=DATE(2026,10,1),IF('Model inputs'!C22="","",'Model inputs'!C22),IF('Model inputs'!M28="","",'Model inputs'!M28)))+'Model inputs'!N31</f>
        <v>447790</v>
      </c>
      <c r="O28" s="10">
        <f>IF(IF(DATE(2027,9,1)=DATE(2026,10,1),IF('Model inputs'!C22="","",'Model inputs'!C22),IF('Model inputs'!N28="","",'Model inputs'!N28))="",0,IF(DATE(2027,9,1)=DATE(2026,10,1),IF('Model inputs'!C22="","",'Model inputs'!C22),IF('Model inputs'!N28="","",'Model inputs'!N28)))+'Model inputs'!O31</f>
        <v>415570</v>
      </c>
      <c r="X28" s="10">
        <v>0</v>
      </c>
    </row>
    <row r="29">
      <c r="A29" t="inlineStr" s="19">
        <is>
          <t xml:space="preserve">TenantGuard net cash flow · TenantGuard unit economics · Main Scenario</t>
        </is>
      </c>
      <c r="D29" s="10">
        <f>'Model inputs'!D32-'Model inputs'!D56-'Model inputs'!D59</f>
        <v>-43542.5</v>
      </c>
      <c r="E29" s="10">
        <f>'Model inputs'!E32-'Model inputs'!E56-'Model inputs'!E59</f>
        <v>-37085</v>
      </c>
      <c r="F29" s="10">
        <f>'Model inputs'!F32-'Model inputs'!F56-'Model inputs'!F59</f>
        <v>-30627.5</v>
      </c>
      <c r="G29" s="10">
        <f>'Model inputs'!G32-'Model inputs'!G56-'Model inputs'!G59</f>
        <v>-24170</v>
      </c>
      <c r="H29" s="10">
        <f>'Model inputs'!H32-'Model inputs'!H56-'Model inputs'!H59</f>
        <v>-17712.5</v>
      </c>
      <c r="I29" s="10">
        <f>'Model inputs'!I32-'Model inputs'!I56-'Model inputs'!I59</f>
        <v>-11255</v>
      </c>
      <c r="J29" s="10">
        <f>'Model inputs'!J32-'Model inputs'!J56-'Model inputs'!J59</f>
        <v>-4797.5</v>
      </c>
      <c r="K29" s="10">
        <f>'Model inputs'!K32-'Model inputs'!K56-'Model inputs'!K59</f>
        <v>1660</v>
      </c>
      <c r="L29" s="10">
        <f>'Model inputs'!L32-'Model inputs'!L56-'Model inputs'!L59</f>
        <v>8117.5</v>
      </c>
      <c r="M29" s="10">
        <f>'Model inputs'!M32-'Model inputs'!M56-'Model inputs'!M59</f>
        <v>14575</v>
      </c>
      <c r="N29" s="10">
        <f>'Model inputs'!N32-'Model inputs'!N56-'Model inputs'!N59</f>
        <v>21032.5</v>
      </c>
      <c r="O29" s="10">
        <f>'Model inputs'!O32-'Model inputs'!O56-'Model inputs'!O59</f>
        <v>27490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>
      <c r="A30" t="inlineStr" s="19">
        <is>
          <t xml:space="preserve">TenantGuard net cash flow · TenantGuard — High</t>
        </is>
      </c>
      <c r="D30" s="10">
        <f>'Model inputs'!D62-'Model inputs'!D57-'Model inputs'!D60</f>
        <v>-31670</v>
      </c>
      <c r="E30" s="10">
        <f>'Model inputs'!E62-'Model inputs'!E57-'Model inputs'!E60</f>
        <v>-13340.000000000007</v>
      </c>
      <c r="F30" s="10">
        <f>'Model inputs'!F62-'Model inputs'!F57-'Model inputs'!F60</f>
        <v>4990</v>
      </c>
      <c r="G30" s="10">
        <f>'Model inputs'!G62-'Model inputs'!G57-'Model inputs'!G60</f>
        <v>23319.999999999985</v>
      </c>
      <c r="H30" s="10">
        <f>'Model inputs'!H62-'Model inputs'!H57-'Model inputs'!H60</f>
        <v>41650</v>
      </c>
      <c r="I30" s="10">
        <f>'Model inputs'!I62-'Model inputs'!I57-'Model inputs'!I60</f>
        <v>59979.99999999997</v>
      </c>
      <c r="J30" s="10">
        <f>'Model inputs'!J62-'Model inputs'!J57-'Model inputs'!J60</f>
        <v>78309.99999999996</v>
      </c>
      <c r="K30" s="10">
        <f>'Model inputs'!K62-'Model inputs'!K57-'Model inputs'!K60</f>
        <v>96639.99999999994</v>
      </c>
      <c r="L30" s="10">
        <f>'Model inputs'!L62-'Model inputs'!L57-'Model inputs'!L60</f>
        <v>114969.99999999997</v>
      </c>
      <c r="M30" s="10">
        <f>'Model inputs'!M62-'Model inputs'!M57-'Model inputs'!M60</f>
        <v>133300</v>
      </c>
      <c r="N30" s="10">
        <f>'Model inputs'!N62-'Model inputs'!N57-'Model inputs'!N60</f>
        <v>151630</v>
      </c>
      <c r="O30" s="10">
        <f>'Model inputs'!O62-'Model inputs'!O57-'Model inputs'!O60</f>
        <v>169960</v>
      </c>
      <c r="X30" s="10">
        <v>0</v>
      </c>
    </row>
    <row r="31">
      <c r="A31" t="inlineStr" s="19">
        <is>
          <t xml:space="preserve">TenantGuard net cash flow · TenantGuard — Low</t>
        </is>
      </c>
      <c r="D31" s="10">
        <f>'Model inputs'!D63-'Model inputs'!D58-'Model inputs'!D61</f>
        <v>-48518.333333333336</v>
      </c>
      <c r="E31" s="10">
        <f>'Model inputs'!E63-'Model inputs'!E58-'Model inputs'!E61</f>
        <v>-47036.666666666664</v>
      </c>
      <c r="F31" s="10">
        <f>'Model inputs'!F63-'Model inputs'!F58-'Model inputs'!F61</f>
        <v>-45555</v>
      </c>
      <c r="G31" s="10">
        <f>'Model inputs'!G63-'Model inputs'!G58-'Model inputs'!G61</f>
        <v>-44073.333333333336</v>
      </c>
      <c r="H31" s="10">
        <f>'Model inputs'!H63-'Model inputs'!H58-'Model inputs'!H61</f>
        <v>-42591.666666666664</v>
      </c>
      <c r="I31" s="10">
        <f>'Model inputs'!I63-'Model inputs'!I58-'Model inputs'!I61</f>
        <v>-41110</v>
      </c>
      <c r="J31" s="10">
        <f>'Model inputs'!J63-'Model inputs'!J58-'Model inputs'!J61</f>
        <v>-39628.33333333333</v>
      </c>
      <c r="K31" s="10">
        <f>'Model inputs'!K63-'Model inputs'!K58-'Model inputs'!K61</f>
        <v>-38146.666666666664</v>
      </c>
      <c r="L31" s="10">
        <f>'Model inputs'!L63-'Model inputs'!L58-'Model inputs'!L61</f>
        <v>-36665</v>
      </c>
      <c r="M31" s="10">
        <f>'Model inputs'!M63-'Model inputs'!M58-'Model inputs'!M61</f>
        <v>-35183.33333333333</v>
      </c>
      <c r="N31" s="10">
        <f>'Model inputs'!N63-'Model inputs'!N58-'Model inputs'!N61</f>
        <v>-33701.666666666664</v>
      </c>
      <c r="O31" s="10">
        <f>'Model inputs'!O63-'Model inputs'!O58-'Model inputs'!O61</f>
        <v>-32219.999999999996</v>
      </c>
      <c r="X31" s="10">
        <v>0</v>
      </c>
    </row>
    <row r="32">
      <c r="A32" t="inlineStr" s="19">
        <is>
          <t xml:space="preserve">TenantGuard revenue · TenantGuard unit economics</t>
        </is>
      </c>
      <c r="D32" s="10">
        <f>'Model inputs'!D33*'Model inputs'!B6</f>
        <v>6500</v>
      </c>
      <c r="E32" s="10">
        <f>'Model inputs'!E33*'Model inputs'!B6</f>
        <v>13000</v>
      </c>
      <c r="F32" s="10">
        <f>'Model inputs'!F33*'Model inputs'!B6</f>
        <v>19500</v>
      </c>
      <c r="G32" s="10">
        <f>'Model inputs'!G33*'Model inputs'!B6</f>
        <v>26000</v>
      </c>
      <c r="H32" s="10">
        <f>'Model inputs'!H33*'Model inputs'!B6</f>
        <v>32500</v>
      </c>
      <c r="I32" s="10">
        <f>'Model inputs'!I33*'Model inputs'!B6</f>
        <v>39000</v>
      </c>
      <c r="J32" s="10">
        <f>'Model inputs'!J33*'Model inputs'!B6</f>
        <v>45500</v>
      </c>
      <c r="K32" s="10">
        <f>'Model inputs'!K33*'Model inputs'!B6</f>
        <v>52000</v>
      </c>
      <c r="L32" s="10">
        <f>'Model inputs'!L33*'Model inputs'!B6</f>
        <v>58500</v>
      </c>
      <c r="M32" s="10">
        <f>'Model inputs'!M33*'Model inputs'!B6</f>
        <v>65000</v>
      </c>
      <c r="N32" s="10">
        <f>'Model inputs'!N33*'Model inputs'!B6</f>
        <v>71500</v>
      </c>
      <c r="O32" s="10">
        <f>'Model inputs'!O33*'Model inputs'!B6</f>
        <v>78000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f>'Model inputs'!Y39*'Model inputs'!B6</f>
        <v>78000</v>
      </c>
      <c r="Z32" s="10">
        <f>'Model inputs'!Z39*'Model inputs'!B6</f>
        <v>78000</v>
      </c>
      <c r="AA32" s="10">
        <f>'Model inputs'!AA39*'Model inputs'!B6</f>
        <v>78000</v>
      </c>
      <c r="AB32" s="10">
        <f>'Model inputs'!AB39*'Model inputs'!B6</f>
        <v>78000</v>
      </c>
      <c r="AC32" s="10">
        <f>'Model inputs'!AC39*'Model inputs'!B6</f>
        <v>78000</v>
      </c>
      <c r="AD32" s="10">
        <f>'Model inputs'!AD39*'Model inputs'!B6</f>
        <v>78000</v>
      </c>
      <c r="AE32" s="10">
        <f>'Model inputs'!AE39*'Model inputs'!B6</f>
        <v>78000</v>
      </c>
      <c r="AF32" s="10">
        <f>'Model inputs'!AF39*'Model inputs'!B6</f>
        <v>78000</v>
      </c>
      <c r="AG32" s="10">
        <f>'Model inputs'!AG39*'Model inputs'!B6</f>
        <v>78000</v>
      </c>
      <c r="AH32" s="10">
        <f>'Model inputs'!AH39*'Model inputs'!B6</f>
        <v>78000</v>
      </c>
      <c r="AI32" s="10">
        <f>'Model inputs'!AI39*'Model inputs'!B6</f>
        <v>78000</v>
      </c>
      <c r="AJ32" s="10">
        <f>'Model inputs'!AJ39*'Model inputs'!B6</f>
        <v>78000</v>
      </c>
      <c r="AK32" s="10">
        <f>'Model inputs'!AK39*'Model inputs'!B6</f>
        <v>78000</v>
      </c>
      <c r="AL32" s="10">
        <f>'Model inputs'!AL39*'Model inputs'!B6</f>
        <v>78000</v>
      </c>
      <c r="AM32" s="10">
        <f>'Model inputs'!AM39*'Model inputs'!B6</f>
        <v>78000</v>
      </c>
      <c r="AN32" s="10">
        <f>'Model inputs'!AN39*'Model inputs'!B6</f>
        <v>78000</v>
      </c>
      <c r="AO32" s="10">
        <f>'Model inputs'!AO39*'Model inputs'!B6</f>
        <v>78000</v>
      </c>
      <c r="AP32" s="10">
        <f>'Model inputs'!AP39*'Model inputs'!B6</f>
        <v>78000</v>
      </c>
      <c r="AQ32" s="10">
        <f>'Model inputs'!AQ39*'Model inputs'!B6</f>
        <v>78000</v>
      </c>
      <c r="AR32" s="10">
        <f>'Model inputs'!AR39*'Model inputs'!B6</f>
        <v>78000</v>
      </c>
      <c r="AS32" s="10">
        <f>'Model inputs'!AS39*'Model inputs'!B6</f>
        <v>78000</v>
      </c>
      <c r="AT32" s="10">
        <f>'Model inputs'!AT39*'Model inputs'!B6</f>
        <v>78000</v>
      </c>
      <c r="AU32" s="10">
        <f>'Model inputs'!AU39*'Model inputs'!B6</f>
        <v>78000</v>
      </c>
      <c r="AV32" s="10">
        <f>'Model inputs'!AV39*'Model inputs'!B6</f>
        <v>78000</v>
      </c>
    </row>
    <row r="33">
      <c r="A33" t="inlineStr" s="19">
        <is>
          <t xml:space="preserve">Ending customers · TenantGuard three-case revenue ramp</t>
        </is>
      </c>
      <c r="D33" s="8">
        <f>'Model inputs'!D23+'Model inputs'!D16-'Model inputs'!D13</f>
        <v>10</v>
      </c>
      <c r="E33" s="8">
        <f>'Model inputs'!E23+'Model inputs'!E16-'Model inputs'!E13</f>
        <v>20</v>
      </c>
      <c r="F33" s="8">
        <f>'Model inputs'!F23+'Model inputs'!F16-'Model inputs'!F13</f>
        <v>30</v>
      </c>
      <c r="G33" s="8">
        <f>'Model inputs'!G23+'Model inputs'!G16-'Model inputs'!G13</f>
        <v>40</v>
      </c>
      <c r="H33" s="8">
        <f>'Model inputs'!H23+'Model inputs'!H16-'Model inputs'!H13</f>
        <v>50</v>
      </c>
      <c r="I33" s="8">
        <f>'Model inputs'!I23+'Model inputs'!I16-'Model inputs'!I13</f>
        <v>60</v>
      </c>
      <c r="J33" s="8">
        <f>'Model inputs'!J23+'Model inputs'!J16-'Model inputs'!J13</f>
        <v>70</v>
      </c>
      <c r="K33" s="8">
        <f>'Model inputs'!K23+'Model inputs'!K16-'Model inputs'!K13</f>
        <v>80</v>
      </c>
      <c r="L33" s="8">
        <f>'Model inputs'!L23+'Model inputs'!L16-'Model inputs'!L13</f>
        <v>90</v>
      </c>
      <c r="M33" s="8">
        <f>'Model inputs'!M23+'Model inputs'!M16-'Model inputs'!M13</f>
        <v>100</v>
      </c>
      <c r="N33" s="8">
        <f>'Model inputs'!N23+'Model inputs'!N16-'Model inputs'!N13</f>
        <v>110</v>
      </c>
      <c r="O33" s="8">
        <f>'Model inputs'!O23+'Model inputs'!O16-'Model inputs'!O13</f>
        <v>120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</row>
    <row r="34">
      <c r="A34" t="inlineStr" s="19">
        <is>
          <t xml:space="preserve">Customer losses · TenantGuard three-case revenue ramp · TenantGuard — High</t>
        </is>
      </c>
      <c r="D34" s="8">
        <f>IF('Model inputs'!D14="","",'Model inputs'!D14)</f>
        <v>0</v>
      </c>
      <c r="E34" s="8">
        <f>IF('Model inputs'!E14="","",'Model inputs'!E14)</f>
        <v>0.21666666666666667</v>
      </c>
      <c r="F34" s="8">
        <f>IF('Model inputs'!F14="","",'Model inputs'!F14)</f>
        <v>0.4333333333333333</v>
      </c>
      <c r="G34" s="8">
        <f>IF('Model inputs'!G14="","",'Model inputs'!G14)</f>
        <v>0.65</v>
      </c>
      <c r="H34" s="8">
        <f>IF('Model inputs'!H14="","",'Model inputs'!H14)</f>
        <v>0.8666666666666666</v>
      </c>
      <c r="I34" s="8">
        <f>IF('Model inputs'!I14="","",'Model inputs'!I14)</f>
        <v>1.0833333333333333</v>
      </c>
      <c r="J34" s="8">
        <f>IF('Model inputs'!J14="","",'Model inputs'!J14)</f>
        <v>1.2999999999999998</v>
      </c>
      <c r="K34" s="8">
        <f>IF('Model inputs'!K14="","",'Model inputs'!K14)</f>
        <v>1.5166666666666664</v>
      </c>
      <c r="L34" s="8">
        <f>IF('Model inputs'!L14="","",'Model inputs'!L14)</f>
        <v>1.733333333333333</v>
      </c>
      <c r="M34" s="8">
        <f>IF('Model inputs'!M14="","",'Model inputs'!M14)</f>
        <v>1.9499999999999997</v>
      </c>
      <c r="N34" s="8">
        <f>IF('Model inputs'!N14="","",'Model inputs'!N14)</f>
        <v>2.1666666666666665</v>
      </c>
      <c r="O34" s="8">
        <f>IF('Model inputs'!O14="","",'Model inputs'!O14)</f>
        <v>2.3833333333333333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f>IF('Model inputs'!X14="","",'Model inputs'!X14)</f>
        <v>0</v>
      </c>
    </row>
    <row r="35">
      <c r="A35" t="inlineStr" s="19">
        <is>
          <t xml:space="preserve">Customer losses · TenantGuard three-case revenue ramp · TenantGuard — Low</t>
        </is>
      </c>
      <c r="D35" s="8">
        <f>IF('Model inputs'!D15="","",'Model inputs'!D15)</f>
        <v>0</v>
      </c>
      <c r="E35" s="8">
        <f>IF('Model inputs'!E15="","",'Model inputs'!E15)</f>
        <v>0.03333333333333333</v>
      </c>
      <c r="F35" s="8">
        <f>IF('Model inputs'!F15="","",'Model inputs'!F15)</f>
        <v>0.06666666666666667</v>
      </c>
      <c r="G35" s="8">
        <f>IF('Model inputs'!G15="","",'Model inputs'!G15)</f>
        <v>0.1</v>
      </c>
      <c r="H35" s="8">
        <f>IF('Model inputs'!H15="","",'Model inputs'!H15)</f>
        <v>0.13333333333333333</v>
      </c>
      <c r="I35" s="8">
        <f>IF('Model inputs'!I15="","",'Model inputs'!I15)</f>
        <v>0.16666666666666669</v>
      </c>
      <c r="J35" s="8">
        <f>IF('Model inputs'!J15="","",'Model inputs'!J15)</f>
        <v>0.2</v>
      </c>
      <c r="K35" s="8">
        <f>IF('Model inputs'!K15="","",'Model inputs'!K15)</f>
        <v>0.23333333333333336</v>
      </c>
      <c r="L35" s="8">
        <f>IF('Model inputs'!L15="","",'Model inputs'!L15)</f>
        <v>0.26666666666666666</v>
      </c>
      <c r="M35" s="8">
        <f>IF('Model inputs'!M15="","",'Model inputs'!M15)</f>
        <v>0.30000000000000004</v>
      </c>
      <c r="N35" s="8">
        <f>IF('Model inputs'!N15="","",'Model inputs'!N15)</f>
        <v>0.3333333333333334</v>
      </c>
      <c r="O35" s="8">
        <f>IF('Model inputs'!O15="","",'Model inputs'!O15)</f>
        <v>0.3666666666666667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f>IF('Model inputs'!X15="","",'Model inputs'!X15)</f>
        <v>0</v>
      </c>
    </row>
    <row r="36">
      <c r="A36" t="inlineStr" s="19">
        <is>
          <t xml:space="preserve">Customer ramp months · Gross customer additions · TenantGuard three-case revenue ramp · Main Scenario · Main Scenario</t>
        </is>
      </c>
      <c r="C36" s="8">
        <f>'TenantGuard launch settings'!B6</f>
        <v>12</v>
      </c>
    </row>
    <row r="37">
      <c r="A37" t="inlineStr" s="19">
        <is>
          <t xml:space="preserve">Customer ramp months · Gross customer additions · TenantGuard — High · TenantGuard — High</t>
        </is>
      </c>
      <c r="C37" s="8">
        <f>'TenantGuard launch settings'!B6</f>
        <v>12</v>
      </c>
    </row>
    <row r="38">
      <c r="A38" t="inlineStr" s="19">
        <is>
          <t xml:space="preserve">Customer ramp months · Gross customer additions · TenantGuard — Low · TenantGuard — Low</t>
        </is>
      </c>
      <c r="C38" s="8">
        <f>'TenantGuard launch settings'!B6</f>
        <v>12</v>
      </c>
    </row>
    <row r="39">
      <c r="A39" t="inlineStr" s="19">
        <is>
          <t xml:space="preserve">Ending customers · TenantGuard revenue · TenantGuard unit economics · Main Scenario</t>
        </is>
      </c>
      <c r="D39" s="8">
        <f>IF('Model inputs'!D33="","",'Model inputs'!D33)</f>
        <v>10</v>
      </c>
      <c r="E39" s="8">
        <f>IF('Model inputs'!E33="","",'Model inputs'!E33)</f>
        <v>20</v>
      </c>
      <c r="F39" s="8">
        <f>IF('Model inputs'!F33="","",'Model inputs'!F33)</f>
        <v>30</v>
      </c>
      <c r="G39" s="8">
        <f>IF('Model inputs'!G33="","",'Model inputs'!G33)</f>
        <v>40</v>
      </c>
      <c r="H39" s="8">
        <f>IF('Model inputs'!H33="","",'Model inputs'!H33)</f>
        <v>50</v>
      </c>
      <c r="I39" s="8">
        <f>IF('Model inputs'!I33="","",'Model inputs'!I33)</f>
        <v>60</v>
      </c>
      <c r="J39" s="8">
        <f>IF('Model inputs'!J33="","",'Model inputs'!J33)</f>
        <v>70</v>
      </c>
      <c r="K39" s="8">
        <f>IF('Model inputs'!K33="","",'Model inputs'!K33)</f>
        <v>80</v>
      </c>
      <c r="L39" s="8">
        <f>IF('Model inputs'!L33="","",'Model inputs'!L33)</f>
        <v>90</v>
      </c>
      <c r="M39" s="8">
        <f>IF('Model inputs'!M33="","",'Model inputs'!M33)</f>
        <v>100</v>
      </c>
      <c r="N39" s="8">
        <f>IF('Model inputs'!N33="","",'Model inputs'!N33)</f>
        <v>110</v>
      </c>
      <c r="O39" s="8">
        <f>IF('Model inputs'!O33="","",'Model inputs'!O33)</f>
        <v>120</v>
      </c>
      <c r="P39" s="8">
        <f>IF('Model inputs'!P33="","",'Model inputs'!P33)</f>
        <v>0</v>
      </c>
      <c r="Q39" s="8">
        <f>IF('Model inputs'!Q33="","",'Model inputs'!Q33)</f>
        <v>0</v>
      </c>
      <c r="R39" s="8">
        <f>IF('Model inputs'!R33="","",'Model inputs'!R33)</f>
        <v>0</v>
      </c>
      <c r="S39" s="8">
        <f>IF('Model inputs'!S33="","",'Model inputs'!S33)</f>
        <v>0</v>
      </c>
      <c r="T39" s="8">
        <f>IF('Model inputs'!T33="","",'Model inputs'!T33)</f>
        <v>0</v>
      </c>
      <c r="U39" s="8">
        <f>IF('Model inputs'!U33="","",'Model inputs'!U33)</f>
        <v>0</v>
      </c>
      <c r="V39" s="8">
        <f>IF('Model inputs'!V33="","",'Model inputs'!V33)</f>
        <v>0</v>
      </c>
      <c r="W39" s="8">
        <f>IF('Model inputs'!W33="","",'Model inputs'!W33)</f>
        <v>0</v>
      </c>
      <c r="X39" s="8">
        <f>IF('Model inputs'!X33="","",'Model inputs'!X33)</f>
        <v>0</v>
      </c>
      <c r="Y39" s="8">
        <f>'Model inputs'!Y81+'Model inputs'!Y80-'Model inputs'!Y75</f>
        <v>120</v>
      </c>
      <c r="Z39" s="8">
        <f>'Model inputs'!Z81+'Model inputs'!Z80-'Model inputs'!Z75</f>
        <v>120</v>
      </c>
      <c r="AA39" s="8">
        <f>'Model inputs'!AA81+'Model inputs'!AA80-'Model inputs'!AA75</f>
        <v>120</v>
      </c>
      <c r="AB39" s="8">
        <f>'Model inputs'!AB81+'Model inputs'!AB80-'Model inputs'!AB75</f>
        <v>120</v>
      </c>
      <c r="AC39" s="8">
        <f>'Model inputs'!AC81+'Model inputs'!AC80-'Model inputs'!AC75</f>
        <v>120</v>
      </c>
      <c r="AD39" s="8">
        <f>'Model inputs'!AD81+'Model inputs'!AD80-'Model inputs'!AD75</f>
        <v>120</v>
      </c>
      <c r="AE39" s="8">
        <f>'Model inputs'!AE81+'Model inputs'!AE80-'Model inputs'!AE75</f>
        <v>120</v>
      </c>
      <c r="AF39" s="8">
        <f>'Model inputs'!AF81+'Model inputs'!AF80-'Model inputs'!AF75</f>
        <v>120</v>
      </c>
      <c r="AG39" s="8">
        <f>'Model inputs'!AG81+'Model inputs'!AG80-'Model inputs'!AG75</f>
        <v>120</v>
      </c>
      <c r="AH39" s="8">
        <f>'Model inputs'!AH81+'Model inputs'!AH80-'Model inputs'!AH75</f>
        <v>120</v>
      </c>
      <c r="AI39" s="8">
        <f>'Model inputs'!AI81+'Model inputs'!AI80-'Model inputs'!AI75</f>
        <v>120</v>
      </c>
      <c r="AJ39" s="8">
        <f>'Model inputs'!AJ81+'Model inputs'!AJ80-'Model inputs'!AJ75</f>
        <v>120</v>
      </c>
      <c r="AK39" s="8">
        <f>'Model inputs'!AK81+'Model inputs'!AK80-'Model inputs'!AK75</f>
        <v>120</v>
      </c>
      <c r="AL39" s="8">
        <f>'Model inputs'!AL81+'Model inputs'!AL80-'Model inputs'!AL75</f>
        <v>120</v>
      </c>
      <c r="AM39" s="8">
        <f>'Model inputs'!AM81+'Model inputs'!AM80-'Model inputs'!AM75</f>
        <v>120</v>
      </c>
      <c r="AN39" s="8">
        <f>'Model inputs'!AN81+'Model inputs'!AN80-'Model inputs'!AN75</f>
        <v>120</v>
      </c>
      <c r="AO39" s="8">
        <f>'Model inputs'!AO81+'Model inputs'!AO80-'Model inputs'!AO75</f>
        <v>120</v>
      </c>
      <c r="AP39" s="8">
        <f>'Model inputs'!AP81+'Model inputs'!AP80-'Model inputs'!AP75</f>
        <v>120</v>
      </c>
      <c r="AQ39" s="8">
        <f>'Model inputs'!AQ81+'Model inputs'!AQ80-'Model inputs'!AQ75</f>
        <v>120</v>
      </c>
      <c r="AR39" s="8">
        <f>'Model inputs'!AR81+'Model inputs'!AR80-'Model inputs'!AR75</f>
        <v>120</v>
      </c>
      <c r="AS39" s="8">
        <f>'Model inputs'!AS81+'Model inputs'!AS80-'Model inputs'!AS75</f>
        <v>120</v>
      </c>
      <c r="AT39" s="8">
        <f>'Model inputs'!AT81+'Model inputs'!AT80-'Model inputs'!AT75</f>
        <v>120</v>
      </c>
      <c r="AU39" s="8">
        <f>'Model inputs'!AU81+'Model inputs'!AU80-'Model inputs'!AU75</f>
        <v>120</v>
      </c>
      <c r="AV39" s="8">
        <f>'Model inputs'!AV81+'Model inputs'!AV80-'Model inputs'!AV75</f>
        <v>120</v>
      </c>
    </row>
    <row r="40">
      <c r="A40" t="inlineStr" s="19">
        <is>
          <t xml:space="preserve">Ending customers · TenantGuard three-case revenue ramp · TenantGuard — High</t>
        </is>
      </c>
      <c r="D40" s="8">
        <f>'Model inputs'!D24+'Model inputs'!D17-'Model inputs'!D14</f>
        <v>21.666666666666668</v>
      </c>
      <c r="E40" s="8">
        <f>'Model inputs'!E24+'Model inputs'!E17-'Model inputs'!E14</f>
        <v>43.33333333333333</v>
      </c>
      <c r="F40" s="8">
        <f>'Model inputs'!F24+'Model inputs'!F17-'Model inputs'!F14</f>
        <v>65</v>
      </c>
      <c r="G40" s="8">
        <f>'Model inputs'!G24+'Model inputs'!G17-'Model inputs'!G14</f>
        <v>86.66666666666666</v>
      </c>
      <c r="H40" s="8">
        <f>'Model inputs'!H24+'Model inputs'!H17-'Model inputs'!H14</f>
        <v>108.33333333333333</v>
      </c>
      <c r="I40" s="8">
        <f>'Model inputs'!I24+'Model inputs'!I17-'Model inputs'!I14</f>
        <v>129.99999999999997</v>
      </c>
      <c r="J40" s="8">
        <f>'Model inputs'!J24+'Model inputs'!J17-'Model inputs'!J14</f>
        <v>151.66666666666663</v>
      </c>
      <c r="K40" s="8">
        <f>'Model inputs'!K24+'Model inputs'!K17-'Model inputs'!K14</f>
        <v>173.3333333333333</v>
      </c>
      <c r="L40" s="8">
        <f>'Model inputs'!L24+'Model inputs'!L17-'Model inputs'!L14</f>
        <v>194.99999999999997</v>
      </c>
      <c r="M40" s="8">
        <f>'Model inputs'!M24+'Model inputs'!M17-'Model inputs'!M14</f>
        <v>216.66666666666666</v>
      </c>
      <c r="N40" s="8">
        <f>'Model inputs'!N24+'Model inputs'!N17-'Model inputs'!N14</f>
        <v>238.33333333333334</v>
      </c>
      <c r="O40" s="8">
        <f>'Model inputs'!O24+'Model inputs'!O17-'Model inputs'!O14</f>
        <v>260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>
      <c r="A41" t="inlineStr" s="19">
        <is>
          <t xml:space="preserve">Ending customers · TenantGuard three-case revenue ramp · TenantGuard — Low</t>
        </is>
      </c>
      <c r="D41" s="8">
        <f>'Model inputs'!D25+'Model inputs'!D18-'Model inputs'!D15</f>
        <v>3.3333333333333335</v>
      </c>
      <c r="E41" s="8">
        <f>'Model inputs'!E25+'Model inputs'!E18-'Model inputs'!E15</f>
        <v>6.666666666666667</v>
      </c>
      <c r="F41" s="8">
        <f>'Model inputs'!F25+'Model inputs'!F18-'Model inputs'!F15</f>
        <v>10</v>
      </c>
      <c r="G41" s="8">
        <f>'Model inputs'!G25+'Model inputs'!G18-'Model inputs'!G15</f>
        <v>13.333333333333334</v>
      </c>
      <c r="H41" s="8">
        <f>'Model inputs'!H25+'Model inputs'!H18-'Model inputs'!H15</f>
        <v>16.666666666666668</v>
      </c>
      <c r="I41" s="8">
        <f>'Model inputs'!I25+'Model inputs'!I18-'Model inputs'!I15</f>
        <v>20</v>
      </c>
      <c r="J41" s="8">
        <f>'Model inputs'!J25+'Model inputs'!J18-'Model inputs'!J15</f>
        <v>23.333333333333336</v>
      </c>
      <c r="K41" s="8">
        <f>'Model inputs'!K25+'Model inputs'!K18-'Model inputs'!K15</f>
        <v>26.666666666666668</v>
      </c>
      <c r="L41" s="8">
        <f>'Model inputs'!L25+'Model inputs'!L18-'Model inputs'!L15</f>
        <v>30.000000000000004</v>
      </c>
      <c r="M41" s="8">
        <f>'Model inputs'!M25+'Model inputs'!M18-'Model inputs'!M15</f>
        <v>33.33333333333334</v>
      </c>
      <c r="N41" s="8">
        <f>'Model inputs'!N25+'Model inputs'!N18-'Model inputs'!N15</f>
        <v>36.66666666666667</v>
      </c>
      <c r="O41" s="8">
        <f>'Model inputs'!O25+'Model inputs'!O18-'Model inputs'!O15</f>
        <v>40.00000000000001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>
      <c r="A42" t="inlineStr" s="19">
        <is>
          <t xml:space="preserve">Forecast month · TenantGuard three-case revenue ramp · Main Scenario</t>
        </is>
      </c>
      <c r="D42" s="8">
        <f>DATEDIF(DATE(2026,10,1),DATE(2026,10,1),"M")+1</f>
        <v>1</v>
      </c>
      <c r="E42" s="8">
        <f>DATEDIF(DATE(2026,10,1),DATE(2026,11,1),"M")+1</f>
        <v>2</v>
      </c>
      <c r="F42" s="8">
        <f>DATEDIF(DATE(2026,10,1),DATE(2026,12,1),"M")+1</f>
        <v>3</v>
      </c>
      <c r="G42" s="8">
        <f>DATEDIF(DATE(2026,10,1),DATE(2027,1,1),"M")+1</f>
        <v>4</v>
      </c>
      <c r="H42" s="8">
        <f>DATEDIF(DATE(2026,10,1),DATE(2027,2,1),"M")+1</f>
        <v>5</v>
      </c>
      <c r="I42" s="8">
        <f>DATEDIF(DATE(2026,10,1),DATE(2027,3,1),"M")+1</f>
        <v>6</v>
      </c>
      <c r="J42" s="8">
        <f>DATEDIF(DATE(2026,10,1),DATE(2027,4,1),"M")+1</f>
        <v>7</v>
      </c>
      <c r="K42" s="8">
        <f>DATEDIF(DATE(2026,10,1),DATE(2027,5,1),"M")+1</f>
        <v>8</v>
      </c>
      <c r="L42" s="8">
        <f>DATEDIF(DATE(2026,10,1),DATE(2027,6,1),"M")+1</f>
        <v>9</v>
      </c>
      <c r="M42" s="8">
        <f>DATEDIF(DATE(2026,10,1),DATE(2027,7,1),"M")+1</f>
        <v>10</v>
      </c>
      <c r="N42" s="8">
        <f>DATEDIF(DATE(2026,10,1),DATE(2027,8,1),"M")+1</f>
        <v>11</v>
      </c>
      <c r="O42" s="8">
        <f>DATEDIF(DATE(2026,10,1),DATE(2027,9,1),"M")+1</f>
        <v>12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>
      <c r="A43" t="inlineStr" s="19">
        <is>
          <t xml:space="preserve">Forecast month · TenantGuard three-case revenue ramp · TenantGuard — High</t>
        </is>
      </c>
      <c r="D43" s="8">
        <f>DATEDIF(DATE(2026,10,1),DATE(2026,10,1),"M")+1</f>
        <v>1</v>
      </c>
      <c r="E43" s="8">
        <f>DATEDIF(DATE(2026,10,1),DATE(2026,11,1),"M")+1</f>
        <v>2</v>
      </c>
      <c r="F43" s="8">
        <f>DATEDIF(DATE(2026,10,1),DATE(2026,12,1),"M")+1</f>
        <v>3</v>
      </c>
      <c r="G43" s="8">
        <f>DATEDIF(DATE(2026,10,1),DATE(2027,1,1),"M")+1</f>
        <v>4</v>
      </c>
      <c r="H43" s="8">
        <f>DATEDIF(DATE(2026,10,1),DATE(2027,2,1),"M")+1</f>
        <v>5</v>
      </c>
      <c r="I43" s="8">
        <f>DATEDIF(DATE(2026,10,1),DATE(2027,3,1),"M")+1</f>
        <v>6</v>
      </c>
      <c r="J43" s="8">
        <f>DATEDIF(DATE(2026,10,1),DATE(2027,4,1),"M")+1</f>
        <v>7</v>
      </c>
      <c r="K43" s="8">
        <f>DATEDIF(DATE(2026,10,1),DATE(2027,5,1),"M")+1</f>
        <v>8</v>
      </c>
      <c r="L43" s="8">
        <f>DATEDIF(DATE(2026,10,1),DATE(2027,6,1),"M")+1</f>
        <v>9</v>
      </c>
      <c r="M43" s="8">
        <f>DATEDIF(DATE(2026,10,1),DATE(2027,7,1),"M")+1</f>
        <v>10</v>
      </c>
      <c r="N43" s="8">
        <f>DATEDIF(DATE(2026,10,1),DATE(2027,8,1),"M")+1</f>
        <v>11</v>
      </c>
      <c r="O43" s="8">
        <f>DATEDIF(DATE(2026,10,1),DATE(2027,9,1),"M")+1</f>
        <v>12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>
      <c r="A44" t="inlineStr" s="19">
        <is>
          <t xml:space="preserve">Forecast month · TenantGuard three-case revenue ramp · TenantGuard — Low</t>
        </is>
      </c>
      <c r="D44" s="8">
        <f>DATEDIF(DATE(2026,10,1),DATE(2026,10,1),"M")+1</f>
        <v>1</v>
      </c>
      <c r="E44" s="8">
        <f>DATEDIF(DATE(2026,10,1),DATE(2026,11,1),"M")+1</f>
        <v>2</v>
      </c>
      <c r="F44" s="8">
        <f>DATEDIF(DATE(2026,10,1),DATE(2026,12,1),"M")+1</f>
        <v>3</v>
      </c>
      <c r="G44" s="8">
        <f>DATEDIF(DATE(2026,10,1),DATE(2027,1,1),"M")+1</f>
        <v>4</v>
      </c>
      <c r="H44" s="8">
        <f>DATEDIF(DATE(2026,10,1),DATE(2027,2,1),"M")+1</f>
        <v>5</v>
      </c>
      <c r="I44" s="8">
        <f>DATEDIF(DATE(2026,10,1),DATE(2027,3,1),"M")+1</f>
        <v>6</v>
      </c>
      <c r="J44" s="8">
        <f>DATEDIF(DATE(2026,10,1),DATE(2027,4,1),"M")+1</f>
        <v>7</v>
      </c>
      <c r="K44" s="8">
        <f>DATEDIF(DATE(2026,10,1),DATE(2027,5,1),"M")+1</f>
        <v>8</v>
      </c>
      <c r="L44" s="8">
        <f>DATEDIF(DATE(2026,10,1),DATE(2027,6,1),"M")+1</f>
        <v>9</v>
      </c>
      <c r="M44" s="8">
        <f>DATEDIF(DATE(2026,10,1),DATE(2027,7,1),"M")+1</f>
        <v>10</v>
      </c>
      <c r="N44" s="8">
        <f>DATEDIF(DATE(2026,10,1),DATE(2027,8,1),"M")+1</f>
        <v>11</v>
      </c>
      <c r="O44" s="8">
        <f>DATEDIF(DATE(2026,10,1),DATE(2027,9,1),"M")+1</f>
        <v>12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>
      <c r="A45" t="inlineStr" s="19">
        <is>
          <t xml:space="preserve">Launch customers · Gross customer additions · TenantGuard three-case revenue ramp · Main Scenario · Main Scenario</t>
        </is>
      </c>
      <c r="C45" s="8">
        <f>'TenantGuard launch settings'!B5</f>
        <v>0</v>
      </c>
    </row>
    <row r="46">
      <c r="A46" t="inlineStr" s="19">
        <is>
          <t xml:space="preserve">Launch customers · Gross customer additions · TenantGuard — High · TenantGuard — High</t>
        </is>
      </c>
      <c r="C46" s="8">
        <f>'TenantGuard launch settings'!B5</f>
        <v>0</v>
      </c>
    </row>
    <row r="47">
      <c r="A47" t="inlineStr" s="19">
        <is>
          <t xml:space="preserve">Launch customers · Gross customer additions · TenantGuard — Low · TenantGuard — Low</t>
        </is>
      </c>
      <c r="C47" s="8">
        <f>'TenantGuard launch settings'!B5</f>
        <v>0</v>
      </c>
    </row>
    <row r="48">
      <c r="A48" t="inlineStr" s="19">
        <is>
          <t xml:space="preserve">Month 12 customers · Gross customer additions · TenantGuard three-case revenue ramp · Main Scenario · Main Scenario</t>
        </is>
      </c>
      <c r="C48" s="8">
        <f>'TenantGuard inputs'!B5</f>
        <v>120</v>
      </c>
    </row>
    <row r="49">
      <c r="A49" t="inlineStr" s="19">
        <is>
          <t xml:space="preserve">Month 12 customers · Gross customer additions · TenantGuard — High · TenantGuard — High</t>
        </is>
      </c>
      <c r="C49" s="8">
        <f>260</f>
        <v>260</v>
      </c>
    </row>
    <row r="50">
      <c r="A50" t="inlineStr" s="19">
        <is>
          <t xml:space="preserve">Month 12 customers · Gross customer additions · TenantGuard — Low · TenantGuard — Low</t>
        </is>
      </c>
      <c r="C50" s="8">
        <f>40</f>
        <v>40</v>
      </c>
    </row>
    <row r="51">
      <c r="A51" t="inlineStr" s="19">
        <is>
          <t xml:space="preserve">Monthly customer churn · Customer losses · TenantGuard three-case revenue ramp · Main Scenario · Main Scenario</t>
        </is>
      </c>
      <c r="C51" s="17">
        <f>'TenantGuard inputs'!B11</f>
        <v>0.01</v>
      </c>
    </row>
    <row r="52">
      <c r="A52" t="inlineStr" s="19">
        <is>
          <t xml:space="preserve">Monthly customer churn · Customer losses · TenantGuard — High · TenantGuard — High</t>
        </is>
      </c>
      <c r="C52" s="17">
        <f>'TenantGuard inputs'!B11</f>
        <v>0.01</v>
      </c>
    </row>
    <row r="53">
      <c r="A53" t="inlineStr" s="19">
        <is>
          <t xml:space="preserve">Monthly customer churn · Customer losses · TenantGuard — Low · TenantGuard — Low</t>
        </is>
      </c>
      <c r="C53" s="17">
        <f>'TenantGuard inputs'!B11</f>
        <v>0.01</v>
      </c>
    </row>
    <row r="54">
      <c r="A54" t="inlineStr" s="19">
        <is>
          <t xml:space="preserve">Opening customers · TenantGuard — High</t>
        </is>
      </c>
      <c r="D54" s="8">
        <f>IF('Model inputs'!D24="","",'Model inputs'!D24)</f>
        <v>0</v>
      </c>
      <c r="E54" s="8">
        <f>IF('Model inputs'!E24="","",'Model inputs'!E24)</f>
        <v>21.666666666666668</v>
      </c>
      <c r="F54" s="8">
        <f>IF('Model inputs'!F24="","",'Model inputs'!F24)</f>
        <v>43.33333333333333</v>
      </c>
      <c r="G54" s="8">
        <f>IF('Model inputs'!G24="","",'Model inputs'!G24)</f>
        <v>65</v>
      </c>
      <c r="H54" s="8">
        <f>IF('Model inputs'!H24="","",'Model inputs'!H24)</f>
        <v>86.66666666666666</v>
      </c>
      <c r="I54" s="8">
        <f>IF('Model inputs'!I24="","",'Model inputs'!I24)</f>
        <v>108.33333333333333</v>
      </c>
      <c r="J54" s="8">
        <f>IF('Model inputs'!J24="","",'Model inputs'!J24)</f>
        <v>129.99999999999997</v>
      </c>
      <c r="K54" s="8">
        <f>IF('Model inputs'!K24="","",'Model inputs'!K24)</f>
        <v>151.66666666666663</v>
      </c>
      <c r="L54" s="8">
        <f>IF('Model inputs'!L24="","",'Model inputs'!L24)</f>
        <v>173.3333333333333</v>
      </c>
      <c r="M54" s="8">
        <f>IF('Model inputs'!M24="","",'Model inputs'!M24)</f>
        <v>194.99999999999997</v>
      </c>
      <c r="N54" s="8">
        <f>IF('Model inputs'!N24="","",'Model inputs'!N24)</f>
        <v>216.66666666666666</v>
      </c>
      <c r="O54" s="8">
        <f>IF('Model inputs'!O24="","",'Model inputs'!O24)</f>
        <v>238.33333333333334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f>IF('Model inputs'!X24="","",'Model inputs'!X24)</f>
        <v>0</v>
      </c>
    </row>
    <row r="55">
      <c r="A55" t="inlineStr" s="19">
        <is>
          <t xml:space="preserve">Opening customers · TenantGuard — Low</t>
        </is>
      </c>
      <c r="D55" s="8">
        <f>IF('Model inputs'!D25="","",'Model inputs'!D25)</f>
        <v>0</v>
      </c>
      <c r="E55" s="8">
        <f>IF('Model inputs'!E25="","",'Model inputs'!E25)</f>
        <v>3.3333333333333335</v>
      </c>
      <c r="F55" s="8">
        <f>IF('Model inputs'!F25="","",'Model inputs'!F25)</f>
        <v>6.666666666666667</v>
      </c>
      <c r="G55" s="8">
        <f>IF('Model inputs'!G25="","",'Model inputs'!G25)</f>
        <v>10</v>
      </c>
      <c r="H55" s="8">
        <f>IF('Model inputs'!H25="","",'Model inputs'!H25)</f>
        <v>13.333333333333334</v>
      </c>
      <c r="I55" s="8">
        <f>IF('Model inputs'!I25="","",'Model inputs'!I25)</f>
        <v>16.666666666666668</v>
      </c>
      <c r="J55" s="8">
        <f>IF('Model inputs'!J25="","",'Model inputs'!J25)</f>
        <v>20</v>
      </c>
      <c r="K55" s="8">
        <f>IF('Model inputs'!K25="","",'Model inputs'!K25)</f>
        <v>23.333333333333336</v>
      </c>
      <c r="L55" s="8">
        <f>IF('Model inputs'!L25="","",'Model inputs'!L25)</f>
        <v>26.666666666666668</v>
      </c>
      <c r="M55" s="8">
        <f>IF('Model inputs'!M25="","",'Model inputs'!M25)</f>
        <v>30.000000000000004</v>
      </c>
      <c r="N55" s="8">
        <f>IF('Model inputs'!N25="","",'Model inputs'!N25)</f>
        <v>33.33333333333334</v>
      </c>
      <c r="O55" s="8">
        <f>IF('Model inputs'!O25="","",'Model inputs'!O25)</f>
        <v>36.66666666666667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f>IF('Model inputs'!X25="","",'Model inputs'!X25)</f>
        <v>0</v>
      </c>
    </row>
    <row r="56">
      <c r="A56" t="inlineStr" s="19">
        <is>
          <t xml:space="preserve">Remediation compute COGS · Compute gross profit · Main Scenario · Main Scenario</t>
        </is>
      </c>
      <c r="D56" s="10">
        <f>'Model inputs'!D68*('Model inputs'!B82*'Model inputs'!B64+'Model inputs'!B71)</f>
        <v>42.49999999999999</v>
      </c>
      <c r="E56" s="10">
        <f>'Model inputs'!E68*('Model inputs'!B82*'Model inputs'!B64+'Model inputs'!B71)</f>
        <v>84.99999999999999</v>
      </c>
      <c r="F56" s="10">
        <f>'Model inputs'!F68*('Model inputs'!B82*'Model inputs'!B64+'Model inputs'!B71)</f>
        <v>127.49999999999999</v>
      </c>
      <c r="G56" s="10">
        <f>'Model inputs'!G68*('Model inputs'!B82*'Model inputs'!B64+'Model inputs'!B71)</f>
        <v>169.99999999999997</v>
      </c>
      <c r="H56" s="10">
        <f>'Model inputs'!H68*('Model inputs'!B82*'Model inputs'!B64+'Model inputs'!B71)</f>
        <v>212.49999999999997</v>
      </c>
      <c r="I56" s="10">
        <f>'Model inputs'!I68*('Model inputs'!B82*'Model inputs'!B64+'Model inputs'!B71)</f>
        <v>254.99999999999997</v>
      </c>
      <c r="J56" s="10">
        <f>'Model inputs'!J68*('Model inputs'!B82*'Model inputs'!B64+'Model inputs'!B71)</f>
        <v>297.5</v>
      </c>
      <c r="K56" s="10">
        <f>'Model inputs'!K68*('Model inputs'!B82*'Model inputs'!B64+'Model inputs'!B71)</f>
        <v>339.99999999999994</v>
      </c>
      <c r="L56" s="10">
        <f>'Model inputs'!L68*('Model inputs'!B82*'Model inputs'!B64+'Model inputs'!B71)</f>
        <v>382.49999999999994</v>
      </c>
      <c r="M56" s="10">
        <f>'Model inputs'!M68*('Model inputs'!B82*'Model inputs'!B64+'Model inputs'!B71)</f>
        <v>424.99999999999994</v>
      </c>
      <c r="N56" s="10">
        <f>'Model inputs'!N68*('Model inputs'!B82*'Model inputs'!B64+'Model inputs'!B71)</f>
        <v>467.49999999999994</v>
      </c>
      <c r="O56" s="10">
        <f>'Model inputs'!O68*('Model inputs'!B82*'Model inputs'!B64+'Model inputs'!B71)</f>
        <v>509.99999999999994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>
      <c r="A57" t="inlineStr" s="19">
        <is>
          <t xml:space="preserve">Remediation compute COGS · TenantGuard three-case revenue ramp · TenantGuard — High</t>
        </is>
      </c>
      <c r="D57" s="10">
        <f>'Model inputs'!D69*('Model inputs'!C84*'Model inputs'!C66+'Model inputs'!C73)</f>
        <v>86.66666666666669</v>
      </c>
      <c r="E57" s="10">
        <f>'Model inputs'!E69*('Model inputs'!C84*'Model inputs'!C66+'Model inputs'!C73)</f>
        <v>173.33333333333331</v>
      </c>
      <c r="F57" s="10">
        <f>'Model inputs'!F69*('Model inputs'!C84*'Model inputs'!C66+'Model inputs'!C73)</f>
        <v>260</v>
      </c>
      <c r="G57" s="10">
        <f>'Model inputs'!G69*('Model inputs'!C84*'Model inputs'!C66+'Model inputs'!C73)</f>
        <v>346.66666666666663</v>
      </c>
      <c r="H57" s="10">
        <f>'Model inputs'!H69*('Model inputs'!C84*'Model inputs'!C66+'Model inputs'!C73)</f>
        <v>433.3333333333333</v>
      </c>
      <c r="I57" s="10">
        <f>'Model inputs'!I69*('Model inputs'!C84*'Model inputs'!C66+'Model inputs'!C73)</f>
        <v>519.9999999999999</v>
      </c>
      <c r="J57" s="10">
        <f>'Model inputs'!J69*('Model inputs'!C84*'Model inputs'!C66+'Model inputs'!C73)</f>
        <v>606.6666666666665</v>
      </c>
      <c r="K57" s="10">
        <f>'Model inputs'!K69*('Model inputs'!C84*'Model inputs'!C66+'Model inputs'!C73)</f>
        <v>693.3333333333331</v>
      </c>
      <c r="L57" s="10">
        <f>'Model inputs'!L69*('Model inputs'!C84*'Model inputs'!C66+'Model inputs'!C73)</f>
        <v>779.9999999999999</v>
      </c>
      <c r="M57" s="10">
        <f>'Model inputs'!M69*('Model inputs'!C84*'Model inputs'!C66+'Model inputs'!C73)</f>
        <v>866.6666666666666</v>
      </c>
      <c r="N57" s="10">
        <f>'Model inputs'!N69*('Model inputs'!C84*'Model inputs'!C66+'Model inputs'!C73)</f>
        <v>953.3333333333335</v>
      </c>
      <c r="O57" s="10">
        <f>'Model inputs'!O69*('Model inputs'!C84*'Model inputs'!C66+'Model inputs'!C73)</f>
        <v>1040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>
      <c r="A58" t="inlineStr" s="19">
        <is>
          <t xml:space="preserve">Remediation compute COGS · TenantGuard three-case revenue ramp · TenantGuard — Low</t>
        </is>
      </c>
      <c r="D58" s="10">
        <f>'Model inputs'!D70*('Model inputs'!C85*'Model inputs'!C67+'Model inputs'!C74)</f>
        <v>18.333333333333336</v>
      </c>
      <c r="E58" s="10">
        <f>'Model inputs'!E70*('Model inputs'!C85*'Model inputs'!C67+'Model inputs'!C74)</f>
        <v>36.66666666666667</v>
      </c>
      <c r="F58" s="10">
        <f>'Model inputs'!F70*('Model inputs'!C85*'Model inputs'!C67+'Model inputs'!C74)</f>
        <v>55</v>
      </c>
      <c r="G58" s="10">
        <f>'Model inputs'!G70*('Model inputs'!C85*'Model inputs'!C67+'Model inputs'!C74)</f>
        <v>73.33333333333334</v>
      </c>
      <c r="H58" s="10">
        <f>'Model inputs'!H70*('Model inputs'!C85*'Model inputs'!C67+'Model inputs'!C74)</f>
        <v>91.66666666666667</v>
      </c>
      <c r="I58" s="10">
        <f>'Model inputs'!I70*('Model inputs'!C85*'Model inputs'!C67+'Model inputs'!C74)</f>
        <v>110</v>
      </c>
      <c r="J58" s="10">
        <f>'Model inputs'!J70*('Model inputs'!C85*'Model inputs'!C67+'Model inputs'!C74)</f>
        <v>128.33333333333334</v>
      </c>
      <c r="K58" s="10">
        <f>'Model inputs'!K70*('Model inputs'!C85*'Model inputs'!C67+'Model inputs'!C74)</f>
        <v>146.66666666666669</v>
      </c>
      <c r="L58" s="10">
        <f>'Model inputs'!L70*('Model inputs'!C85*'Model inputs'!C67+'Model inputs'!C74)</f>
        <v>165.00000000000003</v>
      </c>
      <c r="M58" s="10">
        <f>'Model inputs'!M70*('Model inputs'!C85*'Model inputs'!C67+'Model inputs'!C74)</f>
        <v>183.3333333333334</v>
      </c>
      <c r="N58" s="10">
        <f>'Model inputs'!N70*('Model inputs'!C85*'Model inputs'!C67+'Model inputs'!C74)</f>
        <v>201.66666666666669</v>
      </c>
      <c r="O58" s="10">
        <f>'Model inputs'!O70*('Model inputs'!C85*'Model inputs'!C67+'Model inputs'!C74)</f>
        <v>220.00000000000006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>
      <c r="A59" t="inlineStr" s="19">
        <is>
          <t xml:space="preserve">TenantGuard fixed operating spend · TenantGuard ending cash · TenantGuard unit economics · Main Scenario · Main Scenario</t>
        </is>
      </c>
      <c r="D59" s="10">
        <f>IF('Model inputs'!B76="","",'Model inputs'!B76)</f>
        <v>50000</v>
      </c>
      <c r="E59" s="10">
        <f>IF('Model inputs'!B76="","",'Model inputs'!B76)</f>
        <v>50000</v>
      </c>
      <c r="F59" s="10">
        <f>IF('Model inputs'!B76="","",'Model inputs'!B76)</f>
        <v>50000</v>
      </c>
      <c r="G59" s="10">
        <f>IF('Model inputs'!B76="","",'Model inputs'!B76)</f>
        <v>50000</v>
      </c>
      <c r="H59" s="10">
        <f>IF('Model inputs'!B76="","",'Model inputs'!B76)</f>
        <v>50000</v>
      </c>
      <c r="I59" s="10">
        <f>IF('Model inputs'!B76="","",'Model inputs'!B76)</f>
        <v>50000</v>
      </c>
      <c r="J59" s="10">
        <f>IF('Model inputs'!B76="","",'Model inputs'!B76)</f>
        <v>50000</v>
      </c>
      <c r="K59" s="10">
        <f>IF('Model inputs'!B76="","",'Model inputs'!B76)</f>
        <v>50000</v>
      </c>
      <c r="L59" s="10">
        <f>IF('Model inputs'!B76="","",'Model inputs'!B76)</f>
        <v>50000</v>
      </c>
      <c r="M59" s="10">
        <f>IF('Model inputs'!B76="","",'Model inputs'!B76)</f>
        <v>50000</v>
      </c>
      <c r="N59" s="10">
        <f>IF('Model inputs'!B76="","",'Model inputs'!B76)</f>
        <v>50000</v>
      </c>
      <c r="O59" s="10">
        <f>IF('Model inputs'!B76="","",'Model inputs'!B76)</f>
        <v>50000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>
      <c r="A60" t="inlineStr" s="19">
        <is>
          <t xml:space="preserve">TenantGuard fixed operating spend · TenantGuard — High</t>
        </is>
      </c>
      <c r="D60" s="10">
        <f>IF('Model inputs'!C78="","",'Model inputs'!C78)</f>
        <v>50000</v>
      </c>
      <c r="E60" s="10">
        <f>IF('Model inputs'!C78="","",'Model inputs'!C78)</f>
        <v>50000</v>
      </c>
      <c r="F60" s="10">
        <f>IF('Model inputs'!C78="","",'Model inputs'!C78)</f>
        <v>50000</v>
      </c>
      <c r="G60" s="10">
        <f>IF('Model inputs'!C78="","",'Model inputs'!C78)</f>
        <v>50000</v>
      </c>
      <c r="H60" s="10">
        <f>IF('Model inputs'!C78="","",'Model inputs'!C78)</f>
        <v>50000</v>
      </c>
      <c r="I60" s="10">
        <f>IF('Model inputs'!C78="","",'Model inputs'!C78)</f>
        <v>50000</v>
      </c>
      <c r="J60" s="10">
        <f>IF('Model inputs'!C78="","",'Model inputs'!C78)</f>
        <v>50000</v>
      </c>
      <c r="K60" s="10">
        <f>IF('Model inputs'!C78="","",'Model inputs'!C78)</f>
        <v>50000</v>
      </c>
      <c r="L60" s="10">
        <f>IF('Model inputs'!C78="","",'Model inputs'!C78)</f>
        <v>50000</v>
      </c>
      <c r="M60" s="10">
        <f>IF('Model inputs'!C78="","",'Model inputs'!C78)</f>
        <v>50000</v>
      </c>
      <c r="N60" s="10">
        <f>IF('Model inputs'!C78="","",'Model inputs'!C78)</f>
        <v>50000</v>
      </c>
      <c r="O60" s="10">
        <f>IF('Model inputs'!C78="","",'Model inputs'!C78)</f>
        <v>50000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>
      <c r="A61" t="inlineStr" s="19">
        <is>
          <t xml:space="preserve">TenantGuard fixed operating spend · TenantGuard — Low</t>
        </is>
      </c>
      <c r="D61" s="10">
        <f>IF('Model inputs'!C79="","",'Model inputs'!C79)</f>
        <v>50000</v>
      </c>
      <c r="E61" s="10">
        <f>IF('Model inputs'!C79="","",'Model inputs'!C79)</f>
        <v>50000</v>
      </c>
      <c r="F61" s="10">
        <f>IF('Model inputs'!C79="","",'Model inputs'!C79)</f>
        <v>50000</v>
      </c>
      <c r="G61" s="10">
        <f>IF('Model inputs'!C79="","",'Model inputs'!C79)</f>
        <v>50000</v>
      </c>
      <c r="H61" s="10">
        <f>IF('Model inputs'!C79="","",'Model inputs'!C79)</f>
        <v>50000</v>
      </c>
      <c r="I61" s="10">
        <f>IF('Model inputs'!C79="","",'Model inputs'!C79)</f>
        <v>50000</v>
      </c>
      <c r="J61" s="10">
        <f>IF('Model inputs'!C79="","",'Model inputs'!C79)</f>
        <v>50000</v>
      </c>
      <c r="K61" s="10">
        <f>IF('Model inputs'!C79="","",'Model inputs'!C79)</f>
        <v>50000</v>
      </c>
      <c r="L61" s="10">
        <f>IF('Model inputs'!C79="","",'Model inputs'!C79)</f>
        <v>50000</v>
      </c>
      <c r="M61" s="10">
        <f>IF('Model inputs'!C79="","",'Model inputs'!C79)</f>
        <v>50000</v>
      </c>
      <c r="N61" s="10">
        <f>IF('Model inputs'!C79="","",'Model inputs'!C79)</f>
        <v>50000</v>
      </c>
      <c r="O61" s="10">
        <f>IF('Model inputs'!C79="","",'Model inputs'!C79)</f>
        <v>50000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>
      <c r="A62" t="inlineStr" s="19">
        <is>
          <t xml:space="preserve">TenantGuard revenue · TenantGuard three-case revenue ramp · TenantGuard — High</t>
        </is>
      </c>
      <c r="D62" s="10">
        <f>'Model inputs'!D40*'Model inputs'!C8</f>
        <v>18416.666666666668</v>
      </c>
      <c r="E62" s="10">
        <f>'Model inputs'!E40*'Model inputs'!C8</f>
        <v>36833.33333333333</v>
      </c>
      <c r="F62" s="10">
        <f>'Model inputs'!F40*'Model inputs'!C8</f>
        <v>55250</v>
      </c>
      <c r="G62" s="10">
        <f>'Model inputs'!G40*'Model inputs'!C8</f>
        <v>73666.66666666666</v>
      </c>
      <c r="H62" s="10">
        <f>'Model inputs'!H40*'Model inputs'!C8</f>
        <v>92083.33333333333</v>
      </c>
      <c r="I62" s="10">
        <f>'Model inputs'!I40*'Model inputs'!C8</f>
        <v>110499.99999999997</v>
      </c>
      <c r="J62" s="10">
        <f>'Model inputs'!J40*'Model inputs'!C8</f>
        <v>128916.66666666663</v>
      </c>
      <c r="K62" s="10">
        <f>'Model inputs'!K40*'Model inputs'!C8</f>
        <v>147333.33333333328</v>
      </c>
      <c r="L62" s="10">
        <f>'Model inputs'!L40*'Model inputs'!C8</f>
        <v>165749.99999999997</v>
      </c>
      <c r="M62" s="10">
        <f>'Model inputs'!M40*'Model inputs'!C8</f>
        <v>184166.66666666666</v>
      </c>
      <c r="N62" s="10">
        <f>'Model inputs'!N40*'Model inputs'!C8</f>
        <v>202583.33333333334</v>
      </c>
      <c r="O62" s="10">
        <f>'Model inputs'!O40*'Model inputs'!C8</f>
        <v>221000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>
      <c r="A63" t="inlineStr" s="19">
        <is>
          <t xml:space="preserve">TenantGuard revenue · TenantGuard three-case revenue ramp · TenantGuard — Low</t>
        </is>
      </c>
      <c r="D63" s="10">
        <f>'Model inputs'!D41*'Model inputs'!C9</f>
        <v>1500</v>
      </c>
      <c r="E63" s="10">
        <f>'Model inputs'!E41*'Model inputs'!C9</f>
        <v>3000</v>
      </c>
      <c r="F63" s="10">
        <f>'Model inputs'!F41*'Model inputs'!C9</f>
        <v>4500</v>
      </c>
      <c r="G63" s="10">
        <f>'Model inputs'!G41*'Model inputs'!C9</f>
        <v>6000</v>
      </c>
      <c r="H63" s="10">
        <f>'Model inputs'!H41*'Model inputs'!C9</f>
        <v>7500.000000000001</v>
      </c>
      <c r="I63" s="10">
        <f>'Model inputs'!I41*'Model inputs'!C9</f>
        <v>9000</v>
      </c>
      <c r="J63" s="10">
        <f>'Model inputs'!J41*'Model inputs'!C9</f>
        <v>10500.000000000002</v>
      </c>
      <c r="K63" s="10">
        <f>'Model inputs'!K41*'Model inputs'!C9</f>
        <v>12000</v>
      </c>
      <c r="L63" s="10">
        <f>'Model inputs'!L41*'Model inputs'!C9</f>
        <v>13500.000000000002</v>
      </c>
      <c r="M63" s="10">
        <f>'Model inputs'!M41*'Model inputs'!C9</f>
        <v>15000.000000000004</v>
      </c>
      <c r="N63" s="10">
        <f>'Model inputs'!N41*'Model inputs'!C9</f>
        <v>16500.000000000004</v>
      </c>
      <c r="O63" s="10">
        <f>'Model inputs'!O41*'Model inputs'!C9</f>
        <v>18000.000000000004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>
      <c r="A64" t="inlineStr" s="19">
        <is>
          <t xml:space="preserve">Attempts per completed fix · TenantGuard unit economics · Main Scenario</t>
        </is>
      </c>
      <c r="B64" s="8">
        <f>'TenantGuard inputs'!B7</f>
        <v>2.5</v>
      </c>
    </row>
    <row r="65">
      <c r="A65" t="inlineStr" s="19">
        <is>
          <t xml:space="preserve">Attempts per completed fix · Remediation compute COGS · Compute gross profit · Main Scenario · Main Scenario · Main Scenario</t>
        </is>
      </c>
      <c r="C65" s="8">
        <f>'TenantGuard inputs'!B7</f>
        <v>2.5</v>
      </c>
    </row>
    <row r="66">
      <c r="A66" t="inlineStr" s="19">
        <is>
          <t xml:space="preserve">Attempts per completed fix · Remediation compute COGS · TenantGuard three-case revenue ramp · TenantGuard — High · TenantGuard — High</t>
        </is>
      </c>
      <c r="C66" s="8">
        <f>2</f>
        <v>2</v>
      </c>
    </row>
    <row r="67">
      <c r="A67" t="inlineStr" s="19">
        <is>
          <t xml:space="preserve">Attempts per completed fix · Remediation compute COGS · TenantGuard three-case revenue ramp · TenantGuard — Low · TenantGuard — Low</t>
        </is>
      </c>
      <c r="C67" s="8">
        <f>5</f>
        <v>5</v>
      </c>
    </row>
    <row r="68">
      <c r="A68" t="inlineStr" s="19">
        <is>
          <t xml:space="preserve">Completed remediations · Remediation compute COGS · Compute gross profit · Main Scenario · Main Scenario · Main Scenario</t>
        </is>
      </c>
      <c r="D68" s="8">
        <f>'Model inputs'!D33*'Model inputs'!B86</f>
        <v>1000</v>
      </c>
      <c r="E68" s="8">
        <f>'Model inputs'!E33*'Model inputs'!B86</f>
        <v>2000</v>
      </c>
      <c r="F68" s="8">
        <f>'Model inputs'!F33*'Model inputs'!B86</f>
        <v>3000</v>
      </c>
      <c r="G68" s="8">
        <f>'Model inputs'!G33*'Model inputs'!B86</f>
        <v>4000</v>
      </c>
      <c r="H68" s="8">
        <f>'Model inputs'!H33*'Model inputs'!B86</f>
        <v>5000</v>
      </c>
      <c r="I68" s="8">
        <f>'Model inputs'!I33*'Model inputs'!B86</f>
        <v>6000</v>
      </c>
      <c r="J68" s="8">
        <f>'Model inputs'!J33*'Model inputs'!B86</f>
        <v>7000</v>
      </c>
      <c r="K68" s="8">
        <f>'Model inputs'!K33*'Model inputs'!B86</f>
        <v>8000</v>
      </c>
      <c r="L68" s="8">
        <f>'Model inputs'!L33*'Model inputs'!B86</f>
        <v>9000</v>
      </c>
      <c r="M68" s="8">
        <f>'Model inputs'!M33*'Model inputs'!B86</f>
        <v>10000</v>
      </c>
      <c r="N68" s="8">
        <f>'Model inputs'!N33*'Model inputs'!B86</f>
        <v>11000</v>
      </c>
      <c r="O68" s="8">
        <f>'Model inputs'!O33*'Model inputs'!B86</f>
        <v>12000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</row>
    <row r="69">
      <c r="A69" t="inlineStr" s="19">
        <is>
          <t xml:space="preserve">Completed remediations · Remediation compute COGS · TenantGuard three-case revenue ramp · TenantGuard — High · TenantGuard — High</t>
        </is>
      </c>
      <c r="D69" s="8">
        <f>'Model inputs'!D40*'Model inputs'!C88</f>
        <v>2166.666666666667</v>
      </c>
      <c r="E69" s="8">
        <f>'Model inputs'!E40*'Model inputs'!C88</f>
        <v>4333.333333333333</v>
      </c>
      <c r="F69" s="8">
        <f>'Model inputs'!F40*'Model inputs'!C88</f>
        <v>6500</v>
      </c>
      <c r="G69" s="8">
        <f>'Model inputs'!G40*'Model inputs'!C88</f>
        <v>8666.666666666666</v>
      </c>
      <c r="H69" s="8">
        <f>'Model inputs'!H40*'Model inputs'!C88</f>
        <v>10833.333333333332</v>
      </c>
      <c r="I69" s="8">
        <f>'Model inputs'!I40*'Model inputs'!C88</f>
        <v>12999.999999999996</v>
      </c>
      <c r="J69" s="8">
        <f>'Model inputs'!J40*'Model inputs'!C88</f>
        <v>15166.666666666662</v>
      </c>
      <c r="K69" s="8">
        <f>'Model inputs'!K40*'Model inputs'!C88</f>
        <v>17333.33333333333</v>
      </c>
      <c r="L69" s="8">
        <f>'Model inputs'!L40*'Model inputs'!C88</f>
        <v>19499.999999999996</v>
      </c>
      <c r="M69" s="8">
        <f>'Model inputs'!M40*'Model inputs'!C88</f>
        <v>21666.666666666664</v>
      </c>
      <c r="N69" s="8">
        <f>'Model inputs'!N40*'Model inputs'!C88</f>
        <v>23833.333333333336</v>
      </c>
      <c r="O69" s="8">
        <f>'Model inputs'!O40*'Model inputs'!C88</f>
        <v>26000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</row>
    <row r="70">
      <c r="A70" t="inlineStr" s="19">
        <is>
          <t xml:space="preserve">Completed remediations · Remediation compute COGS · TenantGuard three-case revenue ramp · TenantGuard — Low · TenantGuard — Low</t>
        </is>
      </c>
      <c r="D70" s="8">
        <f>'Model inputs'!D41*'Model inputs'!C89</f>
        <v>333.33333333333337</v>
      </c>
      <c r="E70" s="8">
        <f>'Model inputs'!E41*'Model inputs'!C89</f>
        <v>666.6666666666667</v>
      </c>
      <c r="F70" s="8">
        <f>'Model inputs'!F41*'Model inputs'!C89</f>
        <v>1000</v>
      </c>
      <c r="G70" s="8">
        <f>'Model inputs'!G41*'Model inputs'!C89</f>
        <v>1333.3333333333335</v>
      </c>
      <c r="H70" s="8">
        <f>'Model inputs'!H41*'Model inputs'!C89</f>
        <v>1666.6666666666667</v>
      </c>
      <c r="I70" s="8">
        <f>'Model inputs'!I41*'Model inputs'!C89</f>
        <v>2000</v>
      </c>
      <c r="J70" s="8">
        <f>'Model inputs'!J41*'Model inputs'!C89</f>
        <v>2333.3333333333335</v>
      </c>
      <c r="K70" s="8">
        <f>'Model inputs'!K41*'Model inputs'!C89</f>
        <v>2666.666666666667</v>
      </c>
      <c r="L70" s="8">
        <f>'Model inputs'!L41*'Model inputs'!C89</f>
        <v>3000.0000000000005</v>
      </c>
      <c r="M70" s="8">
        <f>'Model inputs'!M41*'Model inputs'!C89</f>
        <v>3333.3333333333344</v>
      </c>
      <c r="N70" s="8">
        <f>'Model inputs'!N41*'Model inputs'!C89</f>
        <v>3666.666666666667</v>
      </c>
      <c r="O70" s="8">
        <f>'Model inputs'!O41*'Model inputs'!C89</f>
        <v>4000.000000000001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</row>
    <row r="71">
      <c r="A71" t="inlineStr" s="19">
        <is>
          <t xml:space="preserve">Compute cost per completed fix · TenantGuard unit economics · Main Scenario</t>
        </is>
      </c>
      <c r="B71" s="16">
        <f>'TenantGuard inputs'!B10</f>
        <v>0.03</v>
      </c>
    </row>
    <row r="72">
      <c r="A72" t="inlineStr" s="19">
        <is>
          <t xml:space="preserve">Compute cost per completed fix · Remediation compute COGS · Compute gross profit · Main Scenario · Main Scenario · Main Scenario</t>
        </is>
      </c>
      <c r="C72" s="16">
        <f>'TenantGuard inputs'!B10</f>
        <v>0.03</v>
      </c>
    </row>
    <row r="73">
      <c r="A73" t="inlineStr" s="19">
        <is>
          <t xml:space="preserve">Compute cost per completed fix · Remediation compute COGS · TenantGuard three-case revenue ramp · TenantGuard — High · TenantGuard — High</t>
        </is>
      </c>
      <c r="C73" s="16">
        <f>'TenantGuard inputs'!B10</f>
        <v>0.03</v>
      </c>
    </row>
    <row r="74">
      <c r="A74" t="inlineStr" s="19">
        <is>
          <t xml:space="preserve">Compute cost per completed fix · Remediation compute COGS · TenantGuard three-case revenue ramp · TenantGuard — Low · TenantGuard — Low</t>
        </is>
      </c>
      <c r="C74" s="16">
        <f>'TenantGuard inputs'!B10</f>
        <v>0.03</v>
      </c>
    </row>
    <row r="75">
      <c r="A75" t="inlineStr" s="19">
        <is>
          <t xml:space="preserve">Customer losses · TenantGuard revenue · TenantGuard unit economics</t>
        </is>
      </c>
      <c r="D75" s="8">
        <f>IF('Model inputs'!D13="","",'Model inputs'!D13)</f>
        <v>0</v>
      </c>
      <c r="E75" s="8">
        <f>IF('Model inputs'!E13="","",'Model inputs'!E13)</f>
        <v>0.1</v>
      </c>
      <c r="F75" s="8">
        <f>IF('Model inputs'!F13="","",'Model inputs'!F13)</f>
        <v>0.2</v>
      </c>
      <c r="G75" s="8">
        <f>IF('Model inputs'!G13="","",'Model inputs'!G13)</f>
        <v>0.3</v>
      </c>
      <c r="H75" s="8">
        <f>IF('Model inputs'!H13="","",'Model inputs'!H13)</f>
        <v>0.4</v>
      </c>
      <c r="I75" s="8">
        <f>IF('Model inputs'!I13="","",'Model inputs'!I13)</f>
        <v>0.5</v>
      </c>
      <c r="J75" s="8">
        <f>IF('Model inputs'!J13="","",'Model inputs'!J13)</f>
        <v>0.6</v>
      </c>
      <c r="K75" s="8">
        <f>IF('Model inputs'!K13="","",'Model inputs'!K13)</f>
        <v>0.7000000000000001</v>
      </c>
      <c r="L75" s="8">
        <f>IF('Model inputs'!L13="","",'Model inputs'!L13)</f>
        <v>0.8</v>
      </c>
      <c r="M75" s="8">
        <f>IF('Model inputs'!M13="","",'Model inputs'!M13)</f>
        <v>0.9</v>
      </c>
      <c r="N75" s="8">
        <f>IF('Model inputs'!N13="","",'Model inputs'!N13)</f>
        <v>1</v>
      </c>
      <c r="O75" s="8">
        <f>IF('Model inputs'!O13="","",'Model inputs'!O13)</f>
        <v>1.1</v>
      </c>
      <c r="P75" s="8">
        <f>IF('Model inputs'!P13="","",'Model inputs'!P13)</f>
        <v>0</v>
      </c>
      <c r="Q75" s="8">
        <f>IF('Model inputs'!Q13="","",'Model inputs'!Q13)</f>
        <v>0</v>
      </c>
      <c r="R75" s="8">
        <f>IF('Model inputs'!R13="","",'Model inputs'!R13)</f>
        <v>0</v>
      </c>
      <c r="S75" s="8">
        <f>IF('Model inputs'!S13="","",'Model inputs'!S13)</f>
        <v>0</v>
      </c>
      <c r="T75" s="8">
        <f>IF('Model inputs'!T13="","",'Model inputs'!T13)</f>
        <v>0</v>
      </c>
      <c r="U75" s="8">
        <f>IF('Model inputs'!U13="","",'Model inputs'!U13)</f>
        <v>0</v>
      </c>
      <c r="V75" s="8">
        <f>IF('Model inputs'!V13="","",'Model inputs'!V13)</f>
        <v>0</v>
      </c>
      <c r="W75" s="8">
        <f>IF('Model inputs'!W13="","",'Model inputs'!W13)</f>
        <v>0</v>
      </c>
      <c r="X75" s="8">
        <f>IF('Model inputs'!X13="","",'Model inputs'!X13)</f>
        <v>0</v>
      </c>
      <c r="Y75" s="8">
        <f>'Model inputs'!Y81*'Model inputs'!C51</f>
        <v>1.2</v>
      </c>
      <c r="Z75" s="8">
        <f>'Model inputs'!Z81*'Model inputs'!C51</f>
        <v>1.2</v>
      </c>
      <c r="AA75" s="8">
        <f>'Model inputs'!AA81*'Model inputs'!C51</f>
        <v>1.2</v>
      </c>
      <c r="AB75" s="8">
        <f>'Model inputs'!AB81*'Model inputs'!C51</f>
        <v>1.2</v>
      </c>
      <c r="AC75" s="8">
        <f>'Model inputs'!AC81*'Model inputs'!C51</f>
        <v>1.2</v>
      </c>
      <c r="AD75" s="8">
        <f>'Model inputs'!AD81*'Model inputs'!C51</f>
        <v>1.2</v>
      </c>
      <c r="AE75" s="8">
        <f>'Model inputs'!AE81*'Model inputs'!C51</f>
        <v>1.2</v>
      </c>
      <c r="AF75" s="8">
        <f>'Model inputs'!AF81*'Model inputs'!C51</f>
        <v>1.2</v>
      </c>
      <c r="AG75" s="8">
        <f>'Model inputs'!AG81*'Model inputs'!C51</f>
        <v>1.2</v>
      </c>
      <c r="AH75" s="8">
        <f>'Model inputs'!AH81*'Model inputs'!C51</f>
        <v>1.2</v>
      </c>
      <c r="AI75" s="8">
        <f>'Model inputs'!AI81*'Model inputs'!C51</f>
        <v>1.2</v>
      </c>
      <c r="AJ75" s="8">
        <f>'Model inputs'!AJ81*'Model inputs'!C51</f>
        <v>1.2</v>
      </c>
      <c r="AK75" s="8">
        <f>'Model inputs'!AK81*'Model inputs'!C51</f>
        <v>1.2</v>
      </c>
      <c r="AL75" s="8">
        <f>'Model inputs'!AL81*'Model inputs'!C51</f>
        <v>1.2</v>
      </c>
      <c r="AM75" s="8">
        <f>'Model inputs'!AM81*'Model inputs'!C51</f>
        <v>1.2</v>
      </c>
      <c r="AN75" s="8">
        <f>'Model inputs'!AN81*'Model inputs'!C51</f>
        <v>1.2</v>
      </c>
      <c r="AO75" s="8">
        <f>'Model inputs'!AO81*'Model inputs'!C51</f>
        <v>1.2</v>
      </c>
      <c r="AP75" s="8">
        <f>'Model inputs'!AP81*'Model inputs'!C51</f>
        <v>1.2</v>
      </c>
      <c r="AQ75" s="8">
        <f>'Model inputs'!AQ81*'Model inputs'!C51</f>
        <v>1.2</v>
      </c>
      <c r="AR75" s="8">
        <f>'Model inputs'!AR81*'Model inputs'!C51</f>
        <v>1.2</v>
      </c>
      <c r="AS75" s="8">
        <f>'Model inputs'!AS81*'Model inputs'!C51</f>
        <v>1.2</v>
      </c>
      <c r="AT75" s="8">
        <f>'Model inputs'!AT81*'Model inputs'!C51</f>
        <v>1.2</v>
      </c>
      <c r="AU75" s="8">
        <f>'Model inputs'!AU81*'Model inputs'!C51</f>
        <v>1.2</v>
      </c>
      <c r="AV75" s="8">
        <f>'Model inputs'!AV81*'Model inputs'!C51</f>
        <v>1.2</v>
      </c>
    </row>
    <row r="76">
      <c r="A76" t="inlineStr" s="19">
        <is>
          <t xml:space="preserve">Fixed monthly operating spend · TenantGuard unit economics · Main Scenario</t>
        </is>
      </c>
      <c r="B76" s="10">
        <f>'TenantGuard inputs'!B12</f>
        <v>50000</v>
      </c>
    </row>
    <row r="77">
      <c r="A77" t="inlineStr" s="19">
        <is>
          <t xml:space="preserve">Fixed monthly operating spend · TenantGuard fixed operating spend · TenantGuard ending cash · TenantGuard unit economics · Main Scenario · Main Scenario · Main Scenario</t>
        </is>
      </c>
      <c r="C77" s="10">
        <f>'TenantGuard inputs'!B12</f>
        <v>50000</v>
      </c>
    </row>
    <row r="78">
      <c r="A78" t="inlineStr" s="19">
        <is>
          <t xml:space="preserve">Fixed monthly operating spend · TenantGuard fixed operating spend · TenantGuard — High · TenantGuard — High</t>
        </is>
      </c>
      <c r="C78" s="10">
        <f>'TenantGuard inputs'!B12</f>
        <v>50000</v>
      </c>
    </row>
    <row r="79">
      <c r="A79" t="inlineStr" s="19">
        <is>
          <t xml:space="preserve">Fixed monthly operating spend · TenantGuard fixed operating spend · TenantGuard — Low · TenantGuard — Low</t>
        </is>
      </c>
      <c r="C79" s="10">
        <f>'TenantGuard inputs'!B12</f>
        <v>50000</v>
      </c>
    </row>
    <row r="80">
      <c r="A80" t="inlineStr" s="19">
        <is>
          <t xml:space="preserve">Gross customer additions · Ending customers · TenantGuard revenue · TenantGuard unit economics · Main Scenario</t>
        </is>
      </c>
      <c r="D80" s="8">
        <f>IF('Model inputs'!D16="","",'Model inputs'!D16)</f>
        <v>10</v>
      </c>
      <c r="E80" s="8">
        <f>IF('Model inputs'!E16="","",'Model inputs'!E16)</f>
        <v>10.1</v>
      </c>
      <c r="F80" s="8">
        <f>IF('Model inputs'!F16="","",'Model inputs'!F16)</f>
        <v>10.2</v>
      </c>
      <c r="G80" s="8">
        <f>IF('Model inputs'!G16="","",'Model inputs'!G16)</f>
        <v>10.3</v>
      </c>
      <c r="H80" s="8">
        <f>IF('Model inputs'!H16="","",'Model inputs'!H16)</f>
        <v>10.4</v>
      </c>
      <c r="I80" s="8">
        <f>IF('Model inputs'!I16="","",'Model inputs'!I16)</f>
        <v>10.5</v>
      </c>
      <c r="J80" s="8">
        <f>IF('Model inputs'!J16="","",'Model inputs'!J16)</f>
        <v>10.6</v>
      </c>
      <c r="K80" s="8">
        <f>IF('Model inputs'!K16="","",'Model inputs'!K16)</f>
        <v>10.7</v>
      </c>
      <c r="L80" s="8">
        <f>IF('Model inputs'!L16="","",'Model inputs'!L16)</f>
        <v>10.8</v>
      </c>
      <c r="M80" s="8">
        <f>IF('Model inputs'!M16="","",'Model inputs'!M16)</f>
        <v>10.9</v>
      </c>
      <c r="N80" s="8">
        <f>IF('Model inputs'!N16="","",'Model inputs'!N16)</f>
        <v>11</v>
      </c>
      <c r="O80" s="8">
        <f>IF('Model inputs'!O16="","",'Model inputs'!O16)</f>
        <v>11.1</v>
      </c>
      <c r="P80" s="8">
        <f>IF('Model inputs'!P16="","",'Model inputs'!P16)</f>
        <v>0</v>
      </c>
      <c r="Q80" s="8">
        <f>IF('Model inputs'!Q16="","",'Model inputs'!Q16)</f>
        <v>0</v>
      </c>
      <c r="R80" s="8">
        <f>IF('Model inputs'!R16="","",'Model inputs'!R16)</f>
        <v>0</v>
      </c>
      <c r="S80" s="8">
        <f>IF('Model inputs'!S16="","",'Model inputs'!S16)</f>
        <v>0</v>
      </c>
      <c r="T80" s="8">
        <f>IF('Model inputs'!T16="","",'Model inputs'!T16)</f>
        <v>0</v>
      </c>
      <c r="U80" s="8">
        <f>IF('Model inputs'!U16="","",'Model inputs'!U16)</f>
        <v>0</v>
      </c>
      <c r="V80" s="8">
        <f>IF('Model inputs'!V16="","",'Model inputs'!V16)</f>
        <v>0</v>
      </c>
      <c r="W80" s="8">
        <f>IF('Model inputs'!W16="","",'Model inputs'!W16)</f>
        <v>0</v>
      </c>
      <c r="X80" s="8">
        <f>IF('Model inputs'!X16="","",'Model inputs'!X16)</f>
        <v>0</v>
      </c>
      <c r="Y80" s="8">
        <f>IF(IF(IF(IF(ISERROR('Model inputs'!Y90&lt;='Model inputs'!C36),'Model inputs'!Y90&lt;='Model inputs'!C36,IF(OR('Model inputs'!Y90="",'Model inputs'!C36=""),"",'Model inputs'!Y90&lt;='Model inputs'!C36))="",FALSE,IF(ISERROR('Model inputs'!Y90&lt;='Model inputs'!C36),'Model inputs'!Y90&lt;='Model inputs'!C36,IF(OR('Model inputs'!Y90="",'Model inputs'!C36=""),"",'Model inputs'!Y90&lt;='Model inputs'!C36))),('Model inputs'!C48-'Model inputs'!C45)/'Model inputs'!C36,0)="",0,IF(IF(IF(ISERROR('Model inputs'!Y90&lt;='Model inputs'!C36),'Model inputs'!Y90&lt;='Model inputs'!C36,IF(OR('Model inputs'!Y90="",'Model inputs'!C36=""),"",'Model inputs'!Y90&lt;='Model inputs'!C36))="",FALSE,IF(ISERROR('Model inputs'!Y90&lt;='Model inputs'!C36),'Model inputs'!Y90&lt;='Model inputs'!C36,IF(OR('Model inputs'!Y90="",'Model inputs'!C36=""),"",'Model inputs'!Y90&lt;='Model inputs'!C36))),('Model inputs'!C48-'Model inputs'!C45)/'Model inputs'!C36,0))+'Model inputs'!Y81*'Model inputs'!C51</f>
        <v>1.2</v>
      </c>
      <c r="Z80" s="8">
        <f>IF(IF(IF(IF(ISERROR('Model inputs'!Z90&lt;='Model inputs'!C36),'Model inputs'!Z90&lt;='Model inputs'!C36,IF(OR('Model inputs'!Z90="",'Model inputs'!C36=""),"",'Model inputs'!Z90&lt;='Model inputs'!C36))="",FALSE,IF(ISERROR('Model inputs'!Z90&lt;='Model inputs'!C36),'Model inputs'!Z90&lt;='Model inputs'!C36,IF(OR('Model inputs'!Z90="",'Model inputs'!C36=""),"",'Model inputs'!Z90&lt;='Model inputs'!C36))),('Model inputs'!C48-'Model inputs'!C45)/'Model inputs'!C36,0)="",0,IF(IF(IF(ISERROR('Model inputs'!Z90&lt;='Model inputs'!C36),'Model inputs'!Z90&lt;='Model inputs'!C36,IF(OR('Model inputs'!Z90="",'Model inputs'!C36=""),"",'Model inputs'!Z90&lt;='Model inputs'!C36))="",FALSE,IF(ISERROR('Model inputs'!Z90&lt;='Model inputs'!C36),'Model inputs'!Z90&lt;='Model inputs'!C36,IF(OR('Model inputs'!Z90="",'Model inputs'!C36=""),"",'Model inputs'!Z90&lt;='Model inputs'!C36))),('Model inputs'!C48-'Model inputs'!C45)/'Model inputs'!C36,0))+'Model inputs'!Z81*'Model inputs'!C51</f>
        <v>1.2</v>
      </c>
      <c r="AA80" s="8">
        <f>IF(IF(IF(IF(ISERROR('Model inputs'!AA90&lt;='Model inputs'!C36),'Model inputs'!AA90&lt;='Model inputs'!C36,IF(OR('Model inputs'!AA90="",'Model inputs'!C36=""),"",'Model inputs'!AA90&lt;='Model inputs'!C36))="",FALSE,IF(ISERROR('Model inputs'!AA90&lt;='Model inputs'!C36),'Model inputs'!AA90&lt;='Model inputs'!C36,IF(OR('Model inputs'!AA90="",'Model inputs'!C36=""),"",'Model inputs'!AA90&lt;='Model inputs'!C36))),('Model inputs'!C48-'Model inputs'!C45)/'Model inputs'!C36,0)="",0,IF(IF(IF(ISERROR('Model inputs'!AA90&lt;='Model inputs'!C36),'Model inputs'!AA90&lt;='Model inputs'!C36,IF(OR('Model inputs'!AA90="",'Model inputs'!C36=""),"",'Model inputs'!AA90&lt;='Model inputs'!C36))="",FALSE,IF(ISERROR('Model inputs'!AA90&lt;='Model inputs'!C36),'Model inputs'!AA90&lt;='Model inputs'!C36,IF(OR('Model inputs'!AA90="",'Model inputs'!C36=""),"",'Model inputs'!AA90&lt;='Model inputs'!C36))),('Model inputs'!C48-'Model inputs'!C45)/'Model inputs'!C36,0))+'Model inputs'!AA81*'Model inputs'!C51</f>
        <v>1.2</v>
      </c>
      <c r="AB80" s="8">
        <f>IF(IF(IF(IF(ISERROR('Model inputs'!AB90&lt;='Model inputs'!C36),'Model inputs'!AB90&lt;='Model inputs'!C36,IF(OR('Model inputs'!AB90="",'Model inputs'!C36=""),"",'Model inputs'!AB90&lt;='Model inputs'!C36))="",FALSE,IF(ISERROR('Model inputs'!AB90&lt;='Model inputs'!C36),'Model inputs'!AB90&lt;='Model inputs'!C36,IF(OR('Model inputs'!AB90="",'Model inputs'!C36=""),"",'Model inputs'!AB90&lt;='Model inputs'!C36))),('Model inputs'!C48-'Model inputs'!C45)/'Model inputs'!C36,0)="",0,IF(IF(IF(ISERROR('Model inputs'!AB90&lt;='Model inputs'!C36),'Model inputs'!AB90&lt;='Model inputs'!C36,IF(OR('Model inputs'!AB90="",'Model inputs'!C36=""),"",'Model inputs'!AB90&lt;='Model inputs'!C36))="",FALSE,IF(ISERROR('Model inputs'!AB90&lt;='Model inputs'!C36),'Model inputs'!AB90&lt;='Model inputs'!C36,IF(OR('Model inputs'!AB90="",'Model inputs'!C36=""),"",'Model inputs'!AB90&lt;='Model inputs'!C36))),('Model inputs'!C48-'Model inputs'!C45)/'Model inputs'!C36,0))+'Model inputs'!AB81*'Model inputs'!C51</f>
        <v>1.2</v>
      </c>
      <c r="AC80" s="8">
        <f>IF(IF(IF(IF(ISERROR('Model inputs'!AC90&lt;='Model inputs'!C36),'Model inputs'!AC90&lt;='Model inputs'!C36,IF(OR('Model inputs'!AC90="",'Model inputs'!C36=""),"",'Model inputs'!AC90&lt;='Model inputs'!C36))="",FALSE,IF(ISERROR('Model inputs'!AC90&lt;='Model inputs'!C36),'Model inputs'!AC90&lt;='Model inputs'!C36,IF(OR('Model inputs'!AC90="",'Model inputs'!C36=""),"",'Model inputs'!AC90&lt;='Model inputs'!C36))),('Model inputs'!C48-'Model inputs'!C45)/'Model inputs'!C36,0)="",0,IF(IF(IF(ISERROR('Model inputs'!AC90&lt;='Model inputs'!C36),'Model inputs'!AC90&lt;='Model inputs'!C36,IF(OR('Model inputs'!AC90="",'Model inputs'!C36=""),"",'Model inputs'!AC90&lt;='Model inputs'!C36))="",FALSE,IF(ISERROR('Model inputs'!AC90&lt;='Model inputs'!C36),'Model inputs'!AC90&lt;='Model inputs'!C36,IF(OR('Model inputs'!AC90="",'Model inputs'!C36=""),"",'Model inputs'!AC90&lt;='Model inputs'!C36))),('Model inputs'!C48-'Model inputs'!C45)/'Model inputs'!C36,0))+'Model inputs'!AC81*'Model inputs'!C51</f>
        <v>1.2</v>
      </c>
      <c r="AD80" s="8">
        <f>IF(IF(IF(IF(ISERROR('Model inputs'!AD90&lt;='Model inputs'!C36),'Model inputs'!AD90&lt;='Model inputs'!C36,IF(OR('Model inputs'!AD90="",'Model inputs'!C36=""),"",'Model inputs'!AD90&lt;='Model inputs'!C36))="",FALSE,IF(ISERROR('Model inputs'!AD90&lt;='Model inputs'!C36),'Model inputs'!AD90&lt;='Model inputs'!C36,IF(OR('Model inputs'!AD90="",'Model inputs'!C36=""),"",'Model inputs'!AD90&lt;='Model inputs'!C36))),('Model inputs'!C48-'Model inputs'!C45)/'Model inputs'!C36,0)="",0,IF(IF(IF(ISERROR('Model inputs'!AD90&lt;='Model inputs'!C36),'Model inputs'!AD90&lt;='Model inputs'!C36,IF(OR('Model inputs'!AD90="",'Model inputs'!C36=""),"",'Model inputs'!AD90&lt;='Model inputs'!C36))="",FALSE,IF(ISERROR('Model inputs'!AD90&lt;='Model inputs'!C36),'Model inputs'!AD90&lt;='Model inputs'!C36,IF(OR('Model inputs'!AD90="",'Model inputs'!C36=""),"",'Model inputs'!AD90&lt;='Model inputs'!C36))),('Model inputs'!C48-'Model inputs'!C45)/'Model inputs'!C36,0))+'Model inputs'!AD81*'Model inputs'!C51</f>
        <v>1.2</v>
      </c>
      <c r="AE80" s="8">
        <f>IF(IF(IF(IF(ISERROR('Model inputs'!AE90&lt;='Model inputs'!C36),'Model inputs'!AE90&lt;='Model inputs'!C36,IF(OR('Model inputs'!AE90="",'Model inputs'!C36=""),"",'Model inputs'!AE90&lt;='Model inputs'!C36))="",FALSE,IF(ISERROR('Model inputs'!AE90&lt;='Model inputs'!C36),'Model inputs'!AE90&lt;='Model inputs'!C36,IF(OR('Model inputs'!AE90="",'Model inputs'!C36=""),"",'Model inputs'!AE90&lt;='Model inputs'!C36))),('Model inputs'!C48-'Model inputs'!C45)/'Model inputs'!C36,0)="",0,IF(IF(IF(ISERROR('Model inputs'!AE90&lt;='Model inputs'!C36),'Model inputs'!AE90&lt;='Model inputs'!C36,IF(OR('Model inputs'!AE90="",'Model inputs'!C36=""),"",'Model inputs'!AE90&lt;='Model inputs'!C36))="",FALSE,IF(ISERROR('Model inputs'!AE90&lt;='Model inputs'!C36),'Model inputs'!AE90&lt;='Model inputs'!C36,IF(OR('Model inputs'!AE90="",'Model inputs'!C36=""),"",'Model inputs'!AE90&lt;='Model inputs'!C36))),('Model inputs'!C48-'Model inputs'!C45)/'Model inputs'!C36,0))+'Model inputs'!AE81*'Model inputs'!C51</f>
        <v>1.2</v>
      </c>
      <c r="AF80" s="8">
        <f>IF(IF(IF(IF(ISERROR('Model inputs'!AF90&lt;='Model inputs'!C36),'Model inputs'!AF90&lt;='Model inputs'!C36,IF(OR('Model inputs'!AF90="",'Model inputs'!C36=""),"",'Model inputs'!AF90&lt;='Model inputs'!C36))="",FALSE,IF(ISERROR('Model inputs'!AF90&lt;='Model inputs'!C36),'Model inputs'!AF90&lt;='Model inputs'!C36,IF(OR('Model inputs'!AF90="",'Model inputs'!C36=""),"",'Model inputs'!AF90&lt;='Model inputs'!C36))),('Model inputs'!C48-'Model inputs'!C45)/'Model inputs'!C36,0)="",0,IF(IF(IF(ISERROR('Model inputs'!AF90&lt;='Model inputs'!C36),'Model inputs'!AF90&lt;='Model inputs'!C36,IF(OR('Model inputs'!AF90="",'Model inputs'!C36=""),"",'Model inputs'!AF90&lt;='Model inputs'!C36))="",FALSE,IF(ISERROR('Model inputs'!AF90&lt;='Model inputs'!C36),'Model inputs'!AF90&lt;='Model inputs'!C36,IF(OR('Model inputs'!AF90="",'Model inputs'!C36=""),"",'Model inputs'!AF90&lt;='Model inputs'!C36))),('Model inputs'!C48-'Model inputs'!C45)/'Model inputs'!C36,0))+'Model inputs'!AF81*'Model inputs'!C51</f>
        <v>1.2</v>
      </c>
      <c r="AG80" s="8">
        <f>IF(IF(IF(IF(ISERROR('Model inputs'!AG90&lt;='Model inputs'!C36),'Model inputs'!AG90&lt;='Model inputs'!C36,IF(OR('Model inputs'!AG90="",'Model inputs'!C36=""),"",'Model inputs'!AG90&lt;='Model inputs'!C36))="",FALSE,IF(ISERROR('Model inputs'!AG90&lt;='Model inputs'!C36),'Model inputs'!AG90&lt;='Model inputs'!C36,IF(OR('Model inputs'!AG90="",'Model inputs'!C36=""),"",'Model inputs'!AG90&lt;='Model inputs'!C36))),('Model inputs'!C48-'Model inputs'!C45)/'Model inputs'!C36,0)="",0,IF(IF(IF(ISERROR('Model inputs'!AG90&lt;='Model inputs'!C36),'Model inputs'!AG90&lt;='Model inputs'!C36,IF(OR('Model inputs'!AG90="",'Model inputs'!C36=""),"",'Model inputs'!AG90&lt;='Model inputs'!C36))="",FALSE,IF(ISERROR('Model inputs'!AG90&lt;='Model inputs'!C36),'Model inputs'!AG90&lt;='Model inputs'!C36,IF(OR('Model inputs'!AG90="",'Model inputs'!C36=""),"",'Model inputs'!AG90&lt;='Model inputs'!C36))),('Model inputs'!C48-'Model inputs'!C45)/'Model inputs'!C36,0))+'Model inputs'!AG81*'Model inputs'!C51</f>
        <v>1.2</v>
      </c>
      <c r="AH80" s="8">
        <f>IF(IF(IF(IF(ISERROR('Model inputs'!AH90&lt;='Model inputs'!C36),'Model inputs'!AH90&lt;='Model inputs'!C36,IF(OR('Model inputs'!AH90="",'Model inputs'!C36=""),"",'Model inputs'!AH90&lt;='Model inputs'!C36))="",FALSE,IF(ISERROR('Model inputs'!AH90&lt;='Model inputs'!C36),'Model inputs'!AH90&lt;='Model inputs'!C36,IF(OR('Model inputs'!AH90="",'Model inputs'!C36=""),"",'Model inputs'!AH90&lt;='Model inputs'!C36))),('Model inputs'!C48-'Model inputs'!C45)/'Model inputs'!C36,0)="",0,IF(IF(IF(ISERROR('Model inputs'!AH90&lt;='Model inputs'!C36),'Model inputs'!AH90&lt;='Model inputs'!C36,IF(OR('Model inputs'!AH90="",'Model inputs'!C36=""),"",'Model inputs'!AH90&lt;='Model inputs'!C36))="",FALSE,IF(ISERROR('Model inputs'!AH90&lt;='Model inputs'!C36),'Model inputs'!AH90&lt;='Model inputs'!C36,IF(OR('Model inputs'!AH90="",'Model inputs'!C36=""),"",'Model inputs'!AH90&lt;='Model inputs'!C36))),('Model inputs'!C48-'Model inputs'!C45)/'Model inputs'!C36,0))+'Model inputs'!AH81*'Model inputs'!C51</f>
        <v>1.2</v>
      </c>
      <c r="AI80" s="8">
        <f>IF(IF(IF(IF(ISERROR('Model inputs'!AI90&lt;='Model inputs'!C36),'Model inputs'!AI90&lt;='Model inputs'!C36,IF(OR('Model inputs'!AI90="",'Model inputs'!C36=""),"",'Model inputs'!AI90&lt;='Model inputs'!C36))="",FALSE,IF(ISERROR('Model inputs'!AI90&lt;='Model inputs'!C36),'Model inputs'!AI90&lt;='Model inputs'!C36,IF(OR('Model inputs'!AI90="",'Model inputs'!C36=""),"",'Model inputs'!AI90&lt;='Model inputs'!C36))),('Model inputs'!C48-'Model inputs'!C45)/'Model inputs'!C36,0)="",0,IF(IF(IF(ISERROR('Model inputs'!AI90&lt;='Model inputs'!C36),'Model inputs'!AI90&lt;='Model inputs'!C36,IF(OR('Model inputs'!AI90="",'Model inputs'!C36=""),"",'Model inputs'!AI90&lt;='Model inputs'!C36))="",FALSE,IF(ISERROR('Model inputs'!AI90&lt;='Model inputs'!C36),'Model inputs'!AI90&lt;='Model inputs'!C36,IF(OR('Model inputs'!AI90="",'Model inputs'!C36=""),"",'Model inputs'!AI90&lt;='Model inputs'!C36))),('Model inputs'!C48-'Model inputs'!C45)/'Model inputs'!C36,0))+'Model inputs'!AI81*'Model inputs'!C51</f>
        <v>1.2</v>
      </c>
      <c r="AJ80" s="8">
        <f>IF(IF(IF(IF(ISERROR('Model inputs'!AJ90&lt;='Model inputs'!C36),'Model inputs'!AJ90&lt;='Model inputs'!C36,IF(OR('Model inputs'!AJ90="",'Model inputs'!C36=""),"",'Model inputs'!AJ90&lt;='Model inputs'!C36))="",FALSE,IF(ISERROR('Model inputs'!AJ90&lt;='Model inputs'!C36),'Model inputs'!AJ90&lt;='Model inputs'!C36,IF(OR('Model inputs'!AJ90="",'Model inputs'!C36=""),"",'Model inputs'!AJ90&lt;='Model inputs'!C36))),('Model inputs'!C48-'Model inputs'!C45)/'Model inputs'!C36,0)="",0,IF(IF(IF(ISERROR('Model inputs'!AJ90&lt;='Model inputs'!C36),'Model inputs'!AJ90&lt;='Model inputs'!C36,IF(OR('Model inputs'!AJ90="",'Model inputs'!C36=""),"",'Model inputs'!AJ90&lt;='Model inputs'!C36))="",FALSE,IF(ISERROR('Model inputs'!AJ90&lt;='Model inputs'!C36),'Model inputs'!AJ90&lt;='Model inputs'!C36,IF(OR('Model inputs'!AJ90="",'Model inputs'!C36=""),"",'Model inputs'!AJ90&lt;='Model inputs'!C36))),('Model inputs'!C48-'Model inputs'!C45)/'Model inputs'!C36,0))+'Model inputs'!AJ81*'Model inputs'!C51</f>
        <v>1.2</v>
      </c>
      <c r="AK80" s="8">
        <f>IF(IF(IF(IF(ISERROR('Model inputs'!AK90&lt;='Model inputs'!C36),'Model inputs'!AK90&lt;='Model inputs'!C36,IF(OR('Model inputs'!AK90="",'Model inputs'!C36=""),"",'Model inputs'!AK90&lt;='Model inputs'!C36))="",FALSE,IF(ISERROR('Model inputs'!AK90&lt;='Model inputs'!C36),'Model inputs'!AK90&lt;='Model inputs'!C36,IF(OR('Model inputs'!AK90="",'Model inputs'!C36=""),"",'Model inputs'!AK90&lt;='Model inputs'!C36))),('Model inputs'!C48-'Model inputs'!C45)/'Model inputs'!C36,0)="",0,IF(IF(IF(ISERROR('Model inputs'!AK90&lt;='Model inputs'!C36),'Model inputs'!AK90&lt;='Model inputs'!C36,IF(OR('Model inputs'!AK90="",'Model inputs'!C36=""),"",'Model inputs'!AK90&lt;='Model inputs'!C36))="",FALSE,IF(ISERROR('Model inputs'!AK90&lt;='Model inputs'!C36),'Model inputs'!AK90&lt;='Model inputs'!C36,IF(OR('Model inputs'!AK90="",'Model inputs'!C36=""),"",'Model inputs'!AK90&lt;='Model inputs'!C36))),('Model inputs'!C48-'Model inputs'!C45)/'Model inputs'!C36,0))+'Model inputs'!AK81*'Model inputs'!C51</f>
        <v>1.2</v>
      </c>
      <c r="AL80" s="8">
        <f>IF(IF(IF(IF(ISERROR('Model inputs'!AL90&lt;='Model inputs'!C36),'Model inputs'!AL90&lt;='Model inputs'!C36,IF(OR('Model inputs'!AL90="",'Model inputs'!C36=""),"",'Model inputs'!AL90&lt;='Model inputs'!C36))="",FALSE,IF(ISERROR('Model inputs'!AL90&lt;='Model inputs'!C36),'Model inputs'!AL90&lt;='Model inputs'!C36,IF(OR('Model inputs'!AL90="",'Model inputs'!C36=""),"",'Model inputs'!AL90&lt;='Model inputs'!C36))),('Model inputs'!C48-'Model inputs'!C45)/'Model inputs'!C36,0)="",0,IF(IF(IF(ISERROR('Model inputs'!AL90&lt;='Model inputs'!C36),'Model inputs'!AL90&lt;='Model inputs'!C36,IF(OR('Model inputs'!AL90="",'Model inputs'!C36=""),"",'Model inputs'!AL90&lt;='Model inputs'!C36))="",FALSE,IF(ISERROR('Model inputs'!AL90&lt;='Model inputs'!C36),'Model inputs'!AL90&lt;='Model inputs'!C36,IF(OR('Model inputs'!AL90="",'Model inputs'!C36=""),"",'Model inputs'!AL90&lt;='Model inputs'!C36))),('Model inputs'!C48-'Model inputs'!C45)/'Model inputs'!C36,0))+'Model inputs'!AL81*'Model inputs'!C51</f>
        <v>1.2</v>
      </c>
      <c r="AM80" s="8">
        <f>IF(IF(IF(IF(ISERROR('Model inputs'!AM90&lt;='Model inputs'!C36),'Model inputs'!AM90&lt;='Model inputs'!C36,IF(OR('Model inputs'!AM90="",'Model inputs'!C36=""),"",'Model inputs'!AM90&lt;='Model inputs'!C36))="",FALSE,IF(ISERROR('Model inputs'!AM90&lt;='Model inputs'!C36),'Model inputs'!AM90&lt;='Model inputs'!C36,IF(OR('Model inputs'!AM90="",'Model inputs'!C36=""),"",'Model inputs'!AM90&lt;='Model inputs'!C36))),('Model inputs'!C48-'Model inputs'!C45)/'Model inputs'!C36,0)="",0,IF(IF(IF(ISERROR('Model inputs'!AM90&lt;='Model inputs'!C36),'Model inputs'!AM90&lt;='Model inputs'!C36,IF(OR('Model inputs'!AM90="",'Model inputs'!C36=""),"",'Model inputs'!AM90&lt;='Model inputs'!C36))="",FALSE,IF(ISERROR('Model inputs'!AM90&lt;='Model inputs'!C36),'Model inputs'!AM90&lt;='Model inputs'!C36,IF(OR('Model inputs'!AM90="",'Model inputs'!C36=""),"",'Model inputs'!AM90&lt;='Model inputs'!C36))),('Model inputs'!C48-'Model inputs'!C45)/'Model inputs'!C36,0))+'Model inputs'!AM81*'Model inputs'!C51</f>
        <v>1.2</v>
      </c>
      <c r="AN80" s="8">
        <f>IF(IF(IF(IF(ISERROR('Model inputs'!AN90&lt;='Model inputs'!C36),'Model inputs'!AN90&lt;='Model inputs'!C36,IF(OR('Model inputs'!AN90="",'Model inputs'!C36=""),"",'Model inputs'!AN90&lt;='Model inputs'!C36))="",FALSE,IF(ISERROR('Model inputs'!AN90&lt;='Model inputs'!C36),'Model inputs'!AN90&lt;='Model inputs'!C36,IF(OR('Model inputs'!AN90="",'Model inputs'!C36=""),"",'Model inputs'!AN90&lt;='Model inputs'!C36))),('Model inputs'!C48-'Model inputs'!C45)/'Model inputs'!C36,0)="",0,IF(IF(IF(ISERROR('Model inputs'!AN90&lt;='Model inputs'!C36),'Model inputs'!AN90&lt;='Model inputs'!C36,IF(OR('Model inputs'!AN90="",'Model inputs'!C36=""),"",'Model inputs'!AN90&lt;='Model inputs'!C36))="",FALSE,IF(ISERROR('Model inputs'!AN90&lt;='Model inputs'!C36),'Model inputs'!AN90&lt;='Model inputs'!C36,IF(OR('Model inputs'!AN90="",'Model inputs'!C36=""),"",'Model inputs'!AN90&lt;='Model inputs'!C36))),('Model inputs'!C48-'Model inputs'!C45)/'Model inputs'!C36,0))+'Model inputs'!AN81*'Model inputs'!C51</f>
        <v>1.2</v>
      </c>
      <c r="AO80" s="8">
        <f>IF(IF(IF(IF(ISERROR('Model inputs'!AO90&lt;='Model inputs'!C36),'Model inputs'!AO90&lt;='Model inputs'!C36,IF(OR('Model inputs'!AO90="",'Model inputs'!C36=""),"",'Model inputs'!AO90&lt;='Model inputs'!C36))="",FALSE,IF(ISERROR('Model inputs'!AO90&lt;='Model inputs'!C36),'Model inputs'!AO90&lt;='Model inputs'!C36,IF(OR('Model inputs'!AO90="",'Model inputs'!C36=""),"",'Model inputs'!AO90&lt;='Model inputs'!C36))),('Model inputs'!C48-'Model inputs'!C45)/'Model inputs'!C36,0)="",0,IF(IF(IF(ISERROR('Model inputs'!AO90&lt;='Model inputs'!C36),'Model inputs'!AO90&lt;='Model inputs'!C36,IF(OR('Model inputs'!AO90="",'Model inputs'!C36=""),"",'Model inputs'!AO90&lt;='Model inputs'!C36))="",FALSE,IF(ISERROR('Model inputs'!AO90&lt;='Model inputs'!C36),'Model inputs'!AO90&lt;='Model inputs'!C36,IF(OR('Model inputs'!AO90="",'Model inputs'!C36=""),"",'Model inputs'!AO90&lt;='Model inputs'!C36))),('Model inputs'!C48-'Model inputs'!C45)/'Model inputs'!C36,0))+'Model inputs'!AO81*'Model inputs'!C51</f>
        <v>1.2</v>
      </c>
      <c r="AP80" s="8">
        <f>IF(IF(IF(IF(ISERROR('Model inputs'!AP90&lt;='Model inputs'!C36),'Model inputs'!AP90&lt;='Model inputs'!C36,IF(OR('Model inputs'!AP90="",'Model inputs'!C36=""),"",'Model inputs'!AP90&lt;='Model inputs'!C36))="",FALSE,IF(ISERROR('Model inputs'!AP90&lt;='Model inputs'!C36),'Model inputs'!AP90&lt;='Model inputs'!C36,IF(OR('Model inputs'!AP90="",'Model inputs'!C36=""),"",'Model inputs'!AP90&lt;='Model inputs'!C36))),('Model inputs'!C48-'Model inputs'!C45)/'Model inputs'!C36,0)="",0,IF(IF(IF(ISERROR('Model inputs'!AP90&lt;='Model inputs'!C36),'Model inputs'!AP90&lt;='Model inputs'!C36,IF(OR('Model inputs'!AP90="",'Model inputs'!C36=""),"",'Model inputs'!AP90&lt;='Model inputs'!C36))="",FALSE,IF(ISERROR('Model inputs'!AP90&lt;='Model inputs'!C36),'Model inputs'!AP90&lt;='Model inputs'!C36,IF(OR('Model inputs'!AP90="",'Model inputs'!C36=""),"",'Model inputs'!AP90&lt;='Model inputs'!C36))),('Model inputs'!C48-'Model inputs'!C45)/'Model inputs'!C36,0))+'Model inputs'!AP81*'Model inputs'!C51</f>
        <v>1.2</v>
      </c>
      <c r="AQ80" s="8">
        <f>IF(IF(IF(IF(ISERROR('Model inputs'!AQ90&lt;='Model inputs'!C36),'Model inputs'!AQ90&lt;='Model inputs'!C36,IF(OR('Model inputs'!AQ90="",'Model inputs'!C36=""),"",'Model inputs'!AQ90&lt;='Model inputs'!C36))="",FALSE,IF(ISERROR('Model inputs'!AQ90&lt;='Model inputs'!C36),'Model inputs'!AQ90&lt;='Model inputs'!C36,IF(OR('Model inputs'!AQ90="",'Model inputs'!C36=""),"",'Model inputs'!AQ90&lt;='Model inputs'!C36))),('Model inputs'!C48-'Model inputs'!C45)/'Model inputs'!C36,0)="",0,IF(IF(IF(ISERROR('Model inputs'!AQ90&lt;='Model inputs'!C36),'Model inputs'!AQ90&lt;='Model inputs'!C36,IF(OR('Model inputs'!AQ90="",'Model inputs'!C36=""),"",'Model inputs'!AQ90&lt;='Model inputs'!C36))="",FALSE,IF(ISERROR('Model inputs'!AQ90&lt;='Model inputs'!C36),'Model inputs'!AQ90&lt;='Model inputs'!C36,IF(OR('Model inputs'!AQ90="",'Model inputs'!C36=""),"",'Model inputs'!AQ90&lt;='Model inputs'!C36))),('Model inputs'!C48-'Model inputs'!C45)/'Model inputs'!C36,0))+'Model inputs'!AQ81*'Model inputs'!C51</f>
        <v>1.2</v>
      </c>
      <c r="AR80" s="8">
        <f>IF(IF(IF(IF(ISERROR('Model inputs'!AR90&lt;='Model inputs'!C36),'Model inputs'!AR90&lt;='Model inputs'!C36,IF(OR('Model inputs'!AR90="",'Model inputs'!C36=""),"",'Model inputs'!AR90&lt;='Model inputs'!C36))="",FALSE,IF(ISERROR('Model inputs'!AR90&lt;='Model inputs'!C36),'Model inputs'!AR90&lt;='Model inputs'!C36,IF(OR('Model inputs'!AR90="",'Model inputs'!C36=""),"",'Model inputs'!AR90&lt;='Model inputs'!C36))),('Model inputs'!C48-'Model inputs'!C45)/'Model inputs'!C36,0)="",0,IF(IF(IF(ISERROR('Model inputs'!AR90&lt;='Model inputs'!C36),'Model inputs'!AR90&lt;='Model inputs'!C36,IF(OR('Model inputs'!AR90="",'Model inputs'!C36=""),"",'Model inputs'!AR90&lt;='Model inputs'!C36))="",FALSE,IF(ISERROR('Model inputs'!AR90&lt;='Model inputs'!C36),'Model inputs'!AR90&lt;='Model inputs'!C36,IF(OR('Model inputs'!AR90="",'Model inputs'!C36=""),"",'Model inputs'!AR90&lt;='Model inputs'!C36))),('Model inputs'!C48-'Model inputs'!C45)/'Model inputs'!C36,0))+'Model inputs'!AR81*'Model inputs'!C51</f>
        <v>1.2</v>
      </c>
      <c r="AS80" s="8">
        <f>IF(IF(IF(IF(ISERROR('Model inputs'!AS90&lt;='Model inputs'!C36),'Model inputs'!AS90&lt;='Model inputs'!C36,IF(OR('Model inputs'!AS90="",'Model inputs'!C36=""),"",'Model inputs'!AS90&lt;='Model inputs'!C36))="",FALSE,IF(ISERROR('Model inputs'!AS90&lt;='Model inputs'!C36),'Model inputs'!AS90&lt;='Model inputs'!C36,IF(OR('Model inputs'!AS90="",'Model inputs'!C36=""),"",'Model inputs'!AS90&lt;='Model inputs'!C36))),('Model inputs'!C48-'Model inputs'!C45)/'Model inputs'!C36,0)="",0,IF(IF(IF(ISERROR('Model inputs'!AS90&lt;='Model inputs'!C36),'Model inputs'!AS90&lt;='Model inputs'!C36,IF(OR('Model inputs'!AS90="",'Model inputs'!C36=""),"",'Model inputs'!AS90&lt;='Model inputs'!C36))="",FALSE,IF(ISERROR('Model inputs'!AS90&lt;='Model inputs'!C36),'Model inputs'!AS90&lt;='Model inputs'!C36,IF(OR('Model inputs'!AS90="",'Model inputs'!C36=""),"",'Model inputs'!AS90&lt;='Model inputs'!C36))),('Model inputs'!C48-'Model inputs'!C45)/'Model inputs'!C36,0))+'Model inputs'!AS81*'Model inputs'!C51</f>
        <v>1.2</v>
      </c>
      <c r="AT80" s="8">
        <f>IF(IF(IF(IF(ISERROR('Model inputs'!AT90&lt;='Model inputs'!C36),'Model inputs'!AT90&lt;='Model inputs'!C36,IF(OR('Model inputs'!AT90="",'Model inputs'!C36=""),"",'Model inputs'!AT90&lt;='Model inputs'!C36))="",FALSE,IF(ISERROR('Model inputs'!AT90&lt;='Model inputs'!C36),'Model inputs'!AT90&lt;='Model inputs'!C36,IF(OR('Model inputs'!AT90="",'Model inputs'!C36=""),"",'Model inputs'!AT90&lt;='Model inputs'!C36))),('Model inputs'!C48-'Model inputs'!C45)/'Model inputs'!C36,0)="",0,IF(IF(IF(ISERROR('Model inputs'!AT90&lt;='Model inputs'!C36),'Model inputs'!AT90&lt;='Model inputs'!C36,IF(OR('Model inputs'!AT90="",'Model inputs'!C36=""),"",'Model inputs'!AT90&lt;='Model inputs'!C36))="",FALSE,IF(ISERROR('Model inputs'!AT90&lt;='Model inputs'!C36),'Model inputs'!AT90&lt;='Model inputs'!C36,IF(OR('Model inputs'!AT90="",'Model inputs'!C36=""),"",'Model inputs'!AT90&lt;='Model inputs'!C36))),('Model inputs'!C48-'Model inputs'!C45)/'Model inputs'!C36,0))+'Model inputs'!AT81*'Model inputs'!C51</f>
        <v>1.2</v>
      </c>
      <c r="AU80" s="8">
        <f>IF(IF(IF(IF(ISERROR('Model inputs'!AU90&lt;='Model inputs'!C36),'Model inputs'!AU90&lt;='Model inputs'!C36,IF(OR('Model inputs'!AU90="",'Model inputs'!C36=""),"",'Model inputs'!AU90&lt;='Model inputs'!C36))="",FALSE,IF(ISERROR('Model inputs'!AU90&lt;='Model inputs'!C36),'Model inputs'!AU90&lt;='Model inputs'!C36,IF(OR('Model inputs'!AU90="",'Model inputs'!C36=""),"",'Model inputs'!AU90&lt;='Model inputs'!C36))),('Model inputs'!C48-'Model inputs'!C45)/'Model inputs'!C36,0)="",0,IF(IF(IF(ISERROR('Model inputs'!AU90&lt;='Model inputs'!C36),'Model inputs'!AU90&lt;='Model inputs'!C36,IF(OR('Model inputs'!AU90="",'Model inputs'!C36=""),"",'Model inputs'!AU90&lt;='Model inputs'!C36))="",FALSE,IF(ISERROR('Model inputs'!AU90&lt;='Model inputs'!C36),'Model inputs'!AU90&lt;='Model inputs'!C36,IF(OR('Model inputs'!AU90="",'Model inputs'!C36=""),"",'Model inputs'!AU90&lt;='Model inputs'!C36))),('Model inputs'!C48-'Model inputs'!C45)/'Model inputs'!C36,0))+'Model inputs'!AU81*'Model inputs'!C51</f>
        <v>1.2</v>
      </c>
      <c r="AV80" s="8">
        <f>IF(IF(IF(IF(ISERROR('Model inputs'!AV90&lt;='Model inputs'!C36),'Model inputs'!AV90&lt;='Model inputs'!C36,IF(OR('Model inputs'!AV90="",'Model inputs'!C36=""),"",'Model inputs'!AV90&lt;='Model inputs'!C36))="",FALSE,IF(ISERROR('Model inputs'!AV90&lt;='Model inputs'!C36),'Model inputs'!AV90&lt;='Model inputs'!C36,IF(OR('Model inputs'!AV90="",'Model inputs'!C36=""),"",'Model inputs'!AV90&lt;='Model inputs'!C36))),('Model inputs'!C48-'Model inputs'!C45)/'Model inputs'!C36,0)="",0,IF(IF(IF(ISERROR('Model inputs'!AV90&lt;='Model inputs'!C36),'Model inputs'!AV90&lt;='Model inputs'!C36,IF(OR('Model inputs'!AV90="",'Model inputs'!C36=""),"",'Model inputs'!AV90&lt;='Model inputs'!C36))="",FALSE,IF(ISERROR('Model inputs'!AV90&lt;='Model inputs'!C36),'Model inputs'!AV90&lt;='Model inputs'!C36,IF(OR('Model inputs'!AV90="",'Model inputs'!C36=""),"",'Model inputs'!AV90&lt;='Model inputs'!C36))),('Model inputs'!C48-'Model inputs'!C45)/'Model inputs'!C36,0))+'Model inputs'!AV81*'Model inputs'!C51</f>
        <v>1.2</v>
      </c>
    </row>
    <row r="81">
      <c r="A81" t="inlineStr" s="19">
        <is>
          <t xml:space="preserve">Opening customers · TenantGuard revenue · TenantGuard unit economics</t>
        </is>
      </c>
      <c r="D81" s="8">
        <f>IF('Model inputs'!D23="","",'Model inputs'!D23)</f>
        <v>0</v>
      </c>
      <c r="E81" s="8">
        <f>IF('Model inputs'!E23="","",'Model inputs'!E23)</f>
        <v>10</v>
      </c>
      <c r="F81" s="8">
        <f>IF('Model inputs'!F23="","",'Model inputs'!F23)</f>
        <v>20</v>
      </c>
      <c r="G81" s="8">
        <f>IF('Model inputs'!G23="","",'Model inputs'!G23)</f>
        <v>30</v>
      </c>
      <c r="H81" s="8">
        <f>IF('Model inputs'!H23="","",'Model inputs'!H23)</f>
        <v>40</v>
      </c>
      <c r="I81" s="8">
        <f>IF('Model inputs'!I23="","",'Model inputs'!I23)</f>
        <v>50</v>
      </c>
      <c r="J81" s="8">
        <f>IF('Model inputs'!J23="","",'Model inputs'!J23)</f>
        <v>60</v>
      </c>
      <c r="K81" s="8">
        <f>IF('Model inputs'!K23="","",'Model inputs'!K23)</f>
        <v>70</v>
      </c>
      <c r="L81" s="8">
        <f>IF('Model inputs'!L23="","",'Model inputs'!L23)</f>
        <v>80</v>
      </c>
      <c r="M81" s="8">
        <f>IF('Model inputs'!M23="","",'Model inputs'!M23)</f>
        <v>90</v>
      </c>
      <c r="N81" s="8">
        <f>IF('Model inputs'!N23="","",'Model inputs'!N23)</f>
        <v>100</v>
      </c>
      <c r="O81" s="8">
        <f>IF('Model inputs'!O23="","",'Model inputs'!O23)</f>
        <v>110</v>
      </c>
      <c r="P81" s="8">
        <f>IF('Model inputs'!P23="","",'Model inputs'!P23)</f>
        <v>0</v>
      </c>
      <c r="Q81" s="8">
        <f>IF('Model inputs'!Q23="","",'Model inputs'!Q23)</f>
        <v>0</v>
      </c>
      <c r="R81" s="8">
        <f>IF('Model inputs'!R23="","",'Model inputs'!R23)</f>
        <v>0</v>
      </c>
      <c r="S81" s="8">
        <f>IF('Model inputs'!S23="","",'Model inputs'!S23)</f>
        <v>0</v>
      </c>
      <c r="T81" s="8">
        <f>IF('Model inputs'!T23="","",'Model inputs'!T23)</f>
        <v>0</v>
      </c>
      <c r="U81" s="8">
        <f>IF('Model inputs'!U23="","",'Model inputs'!U23)</f>
        <v>0</v>
      </c>
      <c r="V81" s="8">
        <f>IF('Model inputs'!V23="","",'Model inputs'!V23)</f>
        <v>0</v>
      </c>
      <c r="W81" s="8">
        <f>IF('Model inputs'!W23="","",'Model inputs'!W23)</f>
        <v>0</v>
      </c>
      <c r="X81" s="8">
        <f>IF('Model inputs'!X23="","",'Model inputs'!X23)</f>
        <v>0</v>
      </c>
      <c r="Y81" s="8">
        <f>IF(IF(IF(ISERROR('Model inputs'!Y90=1),'Model inputs'!Y90=1,IF('Model inputs'!Y90="","",'Model inputs'!Y90=1))="",FALSE,IF(ISERROR('Model inputs'!Y90=1),'Model inputs'!Y90=1,IF('Model inputs'!Y90="","",'Model inputs'!Y90=1))),IF('Model inputs'!C45="","",'Model inputs'!C45),IF('Model inputs'!O33="","",'Model inputs'!O33))</f>
        <v>120</v>
      </c>
      <c r="Z81" s="8">
        <f>IF(IF(IF(ISERROR('Model inputs'!Z90=1),'Model inputs'!Z90=1,IF('Model inputs'!Z90="","",'Model inputs'!Z90=1))="",FALSE,IF(ISERROR('Model inputs'!Z90=1),'Model inputs'!Z90=1,IF('Model inputs'!Z90="","",'Model inputs'!Z90=1))),IF('Model inputs'!C45="","",'Model inputs'!C45),IF('Model inputs'!Y39="","",'Model inputs'!Y39))</f>
        <v>120</v>
      </c>
      <c r="AA81" s="8">
        <f>IF(IF(IF(ISERROR('Model inputs'!AA90=1),'Model inputs'!AA90=1,IF('Model inputs'!AA90="","",'Model inputs'!AA90=1))="",FALSE,IF(ISERROR('Model inputs'!AA90=1),'Model inputs'!AA90=1,IF('Model inputs'!AA90="","",'Model inputs'!AA90=1))),IF('Model inputs'!C45="","",'Model inputs'!C45),IF('Model inputs'!Z39="","",'Model inputs'!Z39))</f>
        <v>120</v>
      </c>
      <c r="AB81" s="8">
        <f>IF(IF(IF(ISERROR('Model inputs'!AB90=1),'Model inputs'!AB90=1,IF('Model inputs'!AB90="","",'Model inputs'!AB90=1))="",FALSE,IF(ISERROR('Model inputs'!AB90=1),'Model inputs'!AB90=1,IF('Model inputs'!AB90="","",'Model inputs'!AB90=1))),IF('Model inputs'!C45="","",'Model inputs'!C45),IF('Model inputs'!AA39="","",'Model inputs'!AA39))</f>
        <v>120</v>
      </c>
      <c r="AC81" s="8">
        <f>IF(IF(IF(ISERROR('Model inputs'!AC90=1),'Model inputs'!AC90=1,IF('Model inputs'!AC90="","",'Model inputs'!AC90=1))="",FALSE,IF(ISERROR('Model inputs'!AC90=1),'Model inputs'!AC90=1,IF('Model inputs'!AC90="","",'Model inputs'!AC90=1))),IF('Model inputs'!C45="","",'Model inputs'!C45),IF('Model inputs'!AB39="","",'Model inputs'!AB39))</f>
        <v>120</v>
      </c>
      <c r="AD81" s="8">
        <f>IF(IF(IF(ISERROR('Model inputs'!AD90=1),'Model inputs'!AD90=1,IF('Model inputs'!AD90="","",'Model inputs'!AD90=1))="",FALSE,IF(ISERROR('Model inputs'!AD90=1),'Model inputs'!AD90=1,IF('Model inputs'!AD90="","",'Model inputs'!AD90=1))),IF('Model inputs'!C45="","",'Model inputs'!C45),IF('Model inputs'!AC39="","",'Model inputs'!AC39))</f>
        <v>120</v>
      </c>
      <c r="AE81" s="8">
        <f>IF(IF(IF(ISERROR('Model inputs'!AE90=1),'Model inputs'!AE90=1,IF('Model inputs'!AE90="","",'Model inputs'!AE90=1))="",FALSE,IF(ISERROR('Model inputs'!AE90=1),'Model inputs'!AE90=1,IF('Model inputs'!AE90="","",'Model inputs'!AE90=1))),IF('Model inputs'!C45="","",'Model inputs'!C45),IF('Model inputs'!AD39="","",'Model inputs'!AD39))</f>
        <v>120</v>
      </c>
      <c r="AF81" s="8">
        <f>IF(IF(IF(ISERROR('Model inputs'!AF90=1),'Model inputs'!AF90=1,IF('Model inputs'!AF90="","",'Model inputs'!AF90=1))="",FALSE,IF(ISERROR('Model inputs'!AF90=1),'Model inputs'!AF90=1,IF('Model inputs'!AF90="","",'Model inputs'!AF90=1))),IF('Model inputs'!C45="","",'Model inputs'!C45),IF('Model inputs'!AE39="","",'Model inputs'!AE39))</f>
        <v>120</v>
      </c>
      <c r="AG81" s="8">
        <f>IF(IF(IF(ISERROR('Model inputs'!AG90=1),'Model inputs'!AG90=1,IF('Model inputs'!AG90="","",'Model inputs'!AG90=1))="",FALSE,IF(ISERROR('Model inputs'!AG90=1),'Model inputs'!AG90=1,IF('Model inputs'!AG90="","",'Model inputs'!AG90=1))),IF('Model inputs'!C45="","",'Model inputs'!C45),IF('Model inputs'!AF39="","",'Model inputs'!AF39))</f>
        <v>120</v>
      </c>
      <c r="AH81" s="8">
        <f>IF(IF(IF(ISERROR('Model inputs'!AH90=1),'Model inputs'!AH90=1,IF('Model inputs'!AH90="","",'Model inputs'!AH90=1))="",FALSE,IF(ISERROR('Model inputs'!AH90=1),'Model inputs'!AH90=1,IF('Model inputs'!AH90="","",'Model inputs'!AH90=1))),IF('Model inputs'!C45="","",'Model inputs'!C45),IF('Model inputs'!AG39="","",'Model inputs'!AG39))</f>
        <v>120</v>
      </c>
      <c r="AI81" s="8">
        <f>IF(IF(IF(ISERROR('Model inputs'!AI90=1),'Model inputs'!AI90=1,IF('Model inputs'!AI90="","",'Model inputs'!AI90=1))="",FALSE,IF(ISERROR('Model inputs'!AI90=1),'Model inputs'!AI90=1,IF('Model inputs'!AI90="","",'Model inputs'!AI90=1))),IF('Model inputs'!C45="","",'Model inputs'!C45),IF('Model inputs'!AH39="","",'Model inputs'!AH39))</f>
        <v>120</v>
      </c>
      <c r="AJ81" s="8">
        <f>IF(IF(IF(ISERROR('Model inputs'!AJ90=1),'Model inputs'!AJ90=1,IF('Model inputs'!AJ90="","",'Model inputs'!AJ90=1))="",FALSE,IF(ISERROR('Model inputs'!AJ90=1),'Model inputs'!AJ90=1,IF('Model inputs'!AJ90="","",'Model inputs'!AJ90=1))),IF('Model inputs'!C45="","",'Model inputs'!C45),IF('Model inputs'!AI39="","",'Model inputs'!AI39))</f>
        <v>120</v>
      </c>
      <c r="AK81" s="8">
        <f>IF(IF(IF(ISERROR('Model inputs'!AK90=1),'Model inputs'!AK90=1,IF('Model inputs'!AK90="","",'Model inputs'!AK90=1))="",FALSE,IF(ISERROR('Model inputs'!AK90=1),'Model inputs'!AK90=1,IF('Model inputs'!AK90="","",'Model inputs'!AK90=1))),IF('Model inputs'!C45="","",'Model inputs'!C45),IF('Model inputs'!AJ39="","",'Model inputs'!AJ39))</f>
        <v>120</v>
      </c>
      <c r="AL81" s="8">
        <f>IF(IF(IF(ISERROR('Model inputs'!AL90=1),'Model inputs'!AL90=1,IF('Model inputs'!AL90="","",'Model inputs'!AL90=1))="",FALSE,IF(ISERROR('Model inputs'!AL90=1),'Model inputs'!AL90=1,IF('Model inputs'!AL90="","",'Model inputs'!AL90=1))),IF('Model inputs'!C45="","",'Model inputs'!C45),IF('Model inputs'!AK39="","",'Model inputs'!AK39))</f>
        <v>120</v>
      </c>
      <c r="AM81" s="8">
        <f>IF(IF(IF(ISERROR('Model inputs'!AM90=1),'Model inputs'!AM90=1,IF('Model inputs'!AM90="","",'Model inputs'!AM90=1))="",FALSE,IF(ISERROR('Model inputs'!AM90=1),'Model inputs'!AM90=1,IF('Model inputs'!AM90="","",'Model inputs'!AM90=1))),IF('Model inputs'!C45="","",'Model inputs'!C45),IF('Model inputs'!AL39="","",'Model inputs'!AL39))</f>
        <v>120</v>
      </c>
      <c r="AN81" s="8">
        <f>IF(IF(IF(ISERROR('Model inputs'!AN90=1),'Model inputs'!AN90=1,IF('Model inputs'!AN90="","",'Model inputs'!AN90=1))="",FALSE,IF(ISERROR('Model inputs'!AN90=1),'Model inputs'!AN90=1,IF('Model inputs'!AN90="","",'Model inputs'!AN90=1))),IF('Model inputs'!C45="","",'Model inputs'!C45),IF('Model inputs'!AM39="","",'Model inputs'!AM39))</f>
        <v>120</v>
      </c>
      <c r="AO81" s="8">
        <f>IF(IF(IF(ISERROR('Model inputs'!AO90=1),'Model inputs'!AO90=1,IF('Model inputs'!AO90="","",'Model inputs'!AO90=1))="",FALSE,IF(ISERROR('Model inputs'!AO90=1),'Model inputs'!AO90=1,IF('Model inputs'!AO90="","",'Model inputs'!AO90=1))),IF('Model inputs'!C45="","",'Model inputs'!C45),IF('Model inputs'!AN39="","",'Model inputs'!AN39))</f>
        <v>120</v>
      </c>
      <c r="AP81" s="8">
        <f>IF(IF(IF(ISERROR('Model inputs'!AP90=1),'Model inputs'!AP90=1,IF('Model inputs'!AP90="","",'Model inputs'!AP90=1))="",FALSE,IF(ISERROR('Model inputs'!AP90=1),'Model inputs'!AP90=1,IF('Model inputs'!AP90="","",'Model inputs'!AP90=1))),IF('Model inputs'!C45="","",'Model inputs'!C45),IF('Model inputs'!AO39="","",'Model inputs'!AO39))</f>
        <v>120</v>
      </c>
      <c r="AQ81" s="8">
        <f>IF(IF(IF(ISERROR('Model inputs'!AQ90=1),'Model inputs'!AQ90=1,IF('Model inputs'!AQ90="","",'Model inputs'!AQ90=1))="",FALSE,IF(ISERROR('Model inputs'!AQ90=1),'Model inputs'!AQ90=1,IF('Model inputs'!AQ90="","",'Model inputs'!AQ90=1))),IF('Model inputs'!C45="","",'Model inputs'!C45),IF('Model inputs'!AP39="","",'Model inputs'!AP39))</f>
        <v>120</v>
      </c>
      <c r="AR81" s="8">
        <f>IF(IF(IF(ISERROR('Model inputs'!AR90=1),'Model inputs'!AR90=1,IF('Model inputs'!AR90="","",'Model inputs'!AR90=1))="",FALSE,IF(ISERROR('Model inputs'!AR90=1),'Model inputs'!AR90=1,IF('Model inputs'!AR90="","",'Model inputs'!AR90=1))),IF('Model inputs'!C45="","",'Model inputs'!C45),IF('Model inputs'!AQ39="","",'Model inputs'!AQ39))</f>
        <v>120</v>
      </c>
      <c r="AS81" s="8">
        <f>IF(IF(IF(ISERROR('Model inputs'!AS90=1),'Model inputs'!AS90=1,IF('Model inputs'!AS90="","",'Model inputs'!AS90=1))="",FALSE,IF(ISERROR('Model inputs'!AS90=1),'Model inputs'!AS90=1,IF('Model inputs'!AS90="","",'Model inputs'!AS90=1))),IF('Model inputs'!C45="","",'Model inputs'!C45),IF('Model inputs'!AR39="","",'Model inputs'!AR39))</f>
        <v>120</v>
      </c>
      <c r="AT81" s="8">
        <f>IF(IF(IF(ISERROR('Model inputs'!AT90=1),'Model inputs'!AT90=1,IF('Model inputs'!AT90="","",'Model inputs'!AT90=1))="",FALSE,IF(ISERROR('Model inputs'!AT90=1),'Model inputs'!AT90=1,IF('Model inputs'!AT90="","",'Model inputs'!AT90=1))),IF('Model inputs'!C45="","",'Model inputs'!C45),IF('Model inputs'!AS39="","",'Model inputs'!AS39))</f>
        <v>120</v>
      </c>
      <c r="AU81" s="8">
        <f>IF(IF(IF(ISERROR('Model inputs'!AU90=1),'Model inputs'!AU90=1,IF('Model inputs'!AU90="","",'Model inputs'!AU90=1))="",FALSE,IF(ISERROR('Model inputs'!AU90=1),'Model inputs'!AU90=1,IF('Model inputs'!AU90="","",'Model inputs'!AU90=1))),IF('Model inputs'!C45="","",'Model inputs'!C45),IF('Model inputs'!AT39="","",'Model inputs'!AT39))</f>
        <v>120</v>
      </c>
      <c r="AV81" s="8">
        <f>IF(IF(IF(ISERROR('Model inputs'!AV90=1),'Model inputs'!AV90=1,IF('Model inputs'!AV90="","",'Model inputs'!AV90=1))="",FALSE,IF(ISERROR('Model inputs'!AV90=1),'Model inputs'!AV90=1,IF('Model inputs'!AV90="","",'Model inputs'!AV90=1))),IF('Model inputs'!C45="","",'Model inputs'!C45),IF('Model inputs'!AU39="","",'Model inputs'!AU39))</f>
        <v>120</v>
      </c>
    </row>
    <row r="82">
      <c r="A82" t="inlineStr" s="19">
        <is>
          <t xml:space="preserve">Token cost per attempt · TenantGuard unit economics · Main Scenario</t>
        </is>
      </c>
      <c r="B82" s="15">
        <f>'TenantGuard inputs'!B9</f>
        <v>0.005</v>
      </c>
    </row>
    <row r="83">
      <c r="A83" t="inlineStr" s="19">
        <is>
          <t xml:space="preserve">Token cost per attempt · Remediation compute COGS · Compute gross profit · Main Scenario · Main Scenario · Main Scenario</t>
        </is>
      </c>
      <c r="C83" s="15">
        <f>'TenantGuard inputs'!B9</f>
        <v>0.005</v>
      </c>
    </row>
    <row r="84">
      <c r="A84" t="inlineStr" s="19">
        <is>
          <t xml:space="preserve">Token cost per attempt · Remediation compute COGS · TenantGuard three-case revenue ramp · TenantGuard — High · TenantGuard — High</t>
        </is>
      </c>
      <c r="C84" s="15">
        <f>'TenantGuard inputs'!B9</f>
        <v>0.005</v>
      </c>
    </row>
    <row r="85">
      <c r="A85" t="inlineStr" s="19">
        <is>
          <t xml:space="preserve">Token cost per attempt · Remediation compute COGS · TenantGuard three-case revenue ramp · TenantGuard — Low · TenantGuard — Low</t>
        </is>
      </c>
      <c r="C85" s="15">
        <f>'TenantGuard inputs'!B9</f>
        <v>0.005</v>
      </c>
    </row>
    <row r="86">
      <c r="A86" t="inlineStr" s="19">
        <is>
          <t xml:space="preserve">Fixes per customer per month · TenantGuard unit economics · Main Scenario</t>
        </is>
      </c>
      <c r="B86" s="8">
        <f>'TenantGuard inputs'!B8</f>
        <v>100</v>
      </c>
    </row>
    <row r="87">
      <c r="A87" t="inlineStr" s="19">
        <is>
          <t xml:space="preserve">Fixes per customer per month · Completed remediations · Remediation compute COGS · Compute gross profit · Main Scenario · Main Scenario · Main Scenario · Main Scenario</t>
        </is>
      </c>
      <c r="C87" s="8">
        <f>'TenantGuard inputs'!B8</f>
        <v>100</v>
      </c>
    </row>
    <row r="88">
      <c r="A88" t="inlineStr" s="19">
        <is>
          <t xml:space="preserve">Fixes per customer per month · Completed remediations · Remediation compute COGS · TenantGuard three-case revenue ramp · TenantGuard — High · TenantGuard — High · TenantGuard — High</t>
        </is>
      </c>
      <c r="C88" s="8">
        <f>'TenantGuard inputs'!B8</f>
        <v>100</v>
      </c>
    </row>
    <row r="89">
      <c r="A89" t="inlineStr" s="19">
        <is>
          <t xml:space="preserve">Fixes per customer per month · Completed remediations · Remediation compute COGS · TenantGuard three-case revenue ramp · TenantGuard — Low · TenantGuard — Low · TenantGuard — Low</t>
        </is>
      </c>
      <c r="C89" s="8">
        <f>'TenantGuard inputs'!B8</f>
        <v>100</v>
      </c>
    </row>
    <row r="90">
      <c r="A90" t="inlineStr" s="19">
        <is>
          <t xml:space="preserve">Forecast month · TenantGuard revenue · TenantGuard unit economics</t>
        </is>
      </c>
      <c r="D90" s="8">
        <f>IF('Model inputs'!D42="","",'Model inputs'!D42)</f>
        <v>1</v>
      </c>
      <c r="E90" s="8">
        <f>IF('Model inputs'!E42="","",'Model inputs'!E42)</f>
        <v>2</v>
      </c>
      <c r="F90" s="8">
        <f>IF('Model inputs'!F42="","",'Model inputs'!F42)</f>
        <v>3</v>
      </c>
      <c r="G90" s="8">
        <f>IF('Model inputs'!G42="","",'Model inputs'!G42)</f>
        <v>4</v>
      </c>
      <c r="H90" s="8">
        <f>IF('Model inputs'!H42="","",'Model inputs'!H42)</f>
        <v>5</v>
      </c>
      <c r="I90" s="8">
        <f>IF('Model inputs'!I42="","",'Model inputs'!I42)</f>
        <v>6</v>
      </c>
      <c r="J90" s="8">
        <f>IF('Model inputs'!J42="","",'Model inputs'!J42)</f>
        <v>7</v>
      </c>
      <c r="K90" s="8">
        <f>IF('Model inputs'!K42="","",'Model inputs'!K42)</f>
        <v>8</v>
      </c>
      <c r="L90" s="8">
        <f>IF('Model inputs'!L42="","",'Model inputs'!L42)</f>
        <v>9</v>
      </c>
      <c r="M90" s="8">
        <f>IF('Model inputs'!M42="","",'Model inputs'!M42)</f>
        <v>10</v>
      </c>
      <c r="N90" s="8">
        <f>IF('Model inputs'!N42="","",'Model inputs'!N42)</f>
        <v>11</v>
      </c>
      <c r="O90" s="8">
        <f>IF('Model inputs'!O42="","",'Model inputs'!O42)</f>
        <v>12</v>
      </c>
      <c r="P90" s="8">
        <f>IF('Model inputs'!P42="","",'Model inputs'!P42)</f>
        <v>0</v>
      </c>
      <c r="Q90" s="8">
        <f>IF('Model inputs'!Q42="","",'Model inputs'!Q42)</f>
        <v>0</v>
      </c>
      <c r="R90" s="8">
        <f>IF('Model inputs'!R42="","",'Model inputs'!R42)</f>
        <v>0</v>
      </c>
      <c r="S90" s="8">
        <f>IF('Model inputs'!S42="","",'Model inputs'!S42)</f>
        <v>0</v>
      </c>
      <c r="T90" s="8">
        <f>IF('Model inputs'!T42="","",'Model inputs'!T42)</f>
        <v>0</v>
      </c>
      <c r="U90" s="8">
        <f>IF('Model inputs'!U42="","",'Model inputs'!U42)</f>
        <v>0</v>
      </c>
      <c r="V90" s="8">
        <f>IF('Model inputs'!V42="","",'Model inputs'!V42)</f>
        <v>0</v>
      </c>
      <c r="W90" s="8">
        <f>IF('Model inputs'!W42="","",'Model inputs'!W42)</f>
        <v>0</v>
      </c>
      <c r="X90" s="8">
        <f>IF('Model inputs'!X42="","",'Model inputs'!X42)</f>
        <v>0</v>
      </c>
      <c r="Y90" s="8">
        <f>DATEDIF(DATE(2026,10,1),DATE(2027,10,1),"M")+1</f>
        <v>13</v>
      </c>
      <c r="Z90" s="8">
        <f>DATEDIF(DATE(2026,10,1),DATE(2027,11,1),"M")+1</f>
        <v>14</v>
      </c>
      <c r="AA90" s="8">
        <f>DATEDIF(DATE(2026,10,1),DATE(2027,12,1),"M")+1</f>
        <v>15</v>
      </c>
      <c r="AB90" s="8">
        <f>DATEDIF(DATE(2026,10,1),DATE(2028,1,1),"M")+1</f>
        <v>16</v>
      </c>
      <c r="AC90" s="8">
        <f>DATEDIF(DATE(2026,10,1),DATE(2028,2,1),"M")+1</f>
        <v>17</v>
      </c>
      <c r="AD90" s="8">
        <f>DATEDIF(DATE(2026,10,1),DATE(2028,3,1),"M")+1</f>
        <v>18</v>
      </c>
      <c r="AE90" s="8">
        <f>DATEDIF(DATE(2026,10,1),DATE(2028,4,1),"M")+1</f>
        <v>19</v>
      </c>
      <c r="AF90" s="8">
        <f>DATEDIF(DATE(2026,10,1),DATE(2028,5,1),"M")+1</f>
        <v>20</v>
      </c>
      <c r="AG90" s="8">
        <f>DATEDIF(DATE(2026,10,1),DATE(2028,6,1),"M")+1</f>
        <v>21</v>
      </c>
      <c r="AH90" s="8">
        <f>DATEDIF(DATE(2026,10,1),DATE(2028,7,1),"M")+1</f>
        <v>22</v>
      </c>
      <c r="AI90" s="8">
        <f>DATEDIF(DATE(2026,10,1),DATE(2028,8,1),"M")+1</f>
        <v>23</v>
      </c>
      <c r="AJ90" s="8">
        <f>DATEDIF(DATE(2026,10,1),DATE(2028,9,1),"M")+1</f>
        <v>24</v>
      </c>
      <c r="AK90" s="8">
        <f>DATEDIF(DATE(2026,10,1),DATE(2028,10,1),"M")+1</f>
        <v>25</v>
      </c>
      <c r="AL90" s="8">
        <f>DATEDIF(DATE(2026,10,1),DATE(2028,11,1),"M")+1</f>
        <v>26</v>
      </c>
      <c r="AM90" s="8">
        <f>DATEDIF(DATE(2026,10,1),DATE(2028,12,1),"M")+1</f>
        <v>27</v>
      </c>
      <c r="AN90" s="8">
        <f>DATEDIF(DATE(2026,10,1),DATE(2029,1,1),"M")+1</f>
        <v>28</v>
      </c>
      <c r="AO90" s="8">
        <f>DATEDIF(DATE(2026,10,1),DATE(2029,2,1),"M")+1</f>
        <v>29</v>
      </c>
      <c r="AP90" s="8">
        <f>DATEDIF(DATE(2026,10,1),DATE(2029,3,1),"M")+1</f>
        <v>30</v>
      </c>
      <c r="AQ90" s="8">
        <f>DATEDIF(DATE(2026,10,1),DATE(2029,4,1),"M")+1</f>
        <v>31</v>
      </c>
      <c r="AR90" s="8">
        <f>DATEDIF(DATE(2026,10,1),DATE(2029,5,1),"M")+1</f>
        <v>32</v>
      </c>
      <c r="AS90" s="8">
        <f>DATEDIF(DATE(2026,10,1),DATE(2029,6,1),"M")+1</f>
        <v>33</v>
      </c>
      <c r="AT90" s="8">
        <f>DATEDIF(DATE(2026,10,1),DATE(2029,7,1),"M")+1</f>
        <v>34</v>
      </c>
      <c r="AU90" s="8">
        <f>DATEDIF(DATE(2026,10,1),DATE(2029,8,1),"M")+1</f>
        <v>35</v>
      </c>
      <c r="AV90" s="8">
        <f>DATEDIF(DATE(2026,10,1),DATE(2029,9,1),"M")+1</f>
        <v>36</v>
      </c>
    </row>
  </sheetData>
  <mergeCells count="2">
    <mergeCell ref="A1:AV1"/>
    <mergeCell ref="A2:AV2"/>
  </mergeCells>
</worksheet>
</file>