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TenantGuard revenue ramp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.###;(#,##0.###)"/>
    <numFmt numFmtId="165" formatCode="&quot;$&quot;#,##0;(&quot;$&quot;#,##0)"/>
    <numFmt numFmtId="166" formatCode="0.00%"/>
    <numFmt numFmtId="167" formatCode="#,##0.000;(#,##0.000)"/>
    <numFmt numFmtId="168" formatCode="0%"/>
    <numFmt numFmtId="169" formatCode="#,##0.00000;(#,##0.0000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M1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TenantGuard revenue ramp</t>
        </is>
      </c>
    </row>
    <row r="2" ht="20" customHeight="1">
      <c r="A2" t="inlineStr" s="2">
        <is>
          <t xml:space="preserve">TenantGuard — Revenue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</row>
    <row r="5">
      <c r="A5" t="inlineStr" s="6">
        <is>
          <t xml:space="preserve">Forecast month</t>
        </is>
      </c>
      <c r="B5" s="7">
        <f>DATEDIF(DATE(2026,10,1),DATE(2026,10,1),"M")+1</f>
        <v>1</v>
      </c>
      <c r="C5" s="7">
        <f>DATEDIF(DATE(2026,10,1),DATE(2026,11,1),"M")+1</f>
        <v>2</v>
      </c>
      <c r="D5" s="7">
        <f>DATEDIF(DATE(2026,10,1),DATE(2026,12,1),"M")+1</f>
        <v>3</v>
      </c>
      <c r="E5" s="7">
        <f>DATEDIF(DATE(2026,10,1),DATE(2027,1,1),"M")+1</f>
        <v>4</v>
      </c>
      <c r="F5" s="7">
        <f>DATEDIF(DATE(2026,10,1),DATE(2027,2,1),"M")+1</f>
        <v>5</v>
      </c>
      <c r="G5" s="7">
        <f>DATEDIF(DATE(2026,10,1),DATE(2027,3,1),"M")+1</f>
        <v>6</v>
      </c>
      <c r="H5" s="7">
        <f>DATEDIF(DATE(2026,10,1),DATE(2027,4,1),"M")+1</f>
        <v>7</v>
      </c>
      <c r="I5" s="7">
        <f>DATEDIF(DATE(2026,10,1),DATE(2027,5,1),"M")+1</f>
        <v>8</v>
      </c>
      <c r="J5" s="7">
        <f>DATEDIF(DATE(2026,10,1),DATE(2027,6,1),"M")+1</f>
        <v>9</v>
      </c>
      <c r="K5" s="7">
        <f>DATEDIF(DATE(2026,10,1),DATE(2027,7,1),"M")+1</f>
        <v>10</v>
      </c>
      <c r="L5" s="7">
        <f>DATEDIF(DATE(2026,10,1),DATE(2027,8,1),"M")+1</f>
        <v>11</v>
      </c>
      <c r="M5" s="7">
        <f>DATEDIF(DATE(2026,10,1),DATE(2027,9,1),"M")+1</f>
        <v>12</v>
      </c>
    </row>
    <row r="6">
      <c r="A6" t="inlineStr" s="8">
        <is>
          <t xml:space="preserve">Opening customers</t>
        </is>
      </c>
      <c r="B6" s="9">
        <f>IF(IF(IF(ISERROR('TenantGuard revenue ramp'!B5=1),'TenantGuard revenue ramp'!B5=1,IF('TenantGuard revenue ramp'!B5="","",'TenantGuard revenue ramp'!B5=1))="",FALSE,IF(ISERROR('TenantGuard revenue ramp'!B5=1),'TenantGuard revenue ramp'!B5=1,IF('TenantGuard revenue ramp'!B5="","",'TenantGuard revenue ramp'!B5=1))),IF('Model inputs'!B14="","",'Model inputs'!B14),IF('Model inputs'!D11="","",'Model inputs'!D11))</f>
        <v>0</v>
      </c>
      <c r="C6" s="9">
        <f>IF(IF(IF(ISERROR('TenantGuard revenue ramp'!C5=1),'TenantGuard revenue ramp'!C5=1,IF('TenantGuard revenue ramp'!C5="","",'TenantGuard revenue ramp'!C5=1))="",FALSE,IF(ISERROR('TenantGuard revenue ramp'!C5=1),'TenantGuard revenue ramp'!C5=1,IF('TenantGuard revenue ramp'!C5="","",'TenantGuard revenue ramp'!C5=1))),IF('Model inputs'!B14="","",'Model inputs'!B14),IF('TenantGuard revenue ramp'!B9="","",'TenantGuard revenue ramp'!B9))</f>
        <v>10</v>
      </c>
      <c r="D6" s="9">
        <f>IF(IF(IF(ISERROR('TenantGuard revenue ramp'!D5=1),'TenantGuard revenue ramp'!D5=1,IF('TenantGuard revenue ramp'!D5="","",'TenantGuard revenue ramp'!D5=1))="",FALSE,IF(ISERROR('TenantGuard revenue ramp'!D5=1),'TenantGuard revenue ramp'!D5=1,IF('TenantGuard revenue ramp'!D5="","",'TenantGuard revenue ramp'!D5=1))),IF('Model inputs'!B14="","",'Model inputs'!B14),IF('TenantGuard revenue ramp'!C9="","",'TenantGuard revenue ramp'!C9))</f>
        <v>20</v>
      </c>
      <c r="E6" s="9">
        <f>IF(IF(IF(ISERROR('TenantGuard revenue ramp'!E5=1),'TenantGuard revenue ramp'!E5=1,IF('TenantGuard revenue ramp'!E5="","",'TenantGuard revenue ramp'!E5=1))="",FALSE,IF(ISERROR('TenantGuard revenue ramp'!E5=1),'TenantGuard revenue ramp'!E5=1,IF('TenantGuard revenue ramp'!E5="","",'TenantGuard revenue ramp'!E5=1))),IF('Model inputs'!B14="","",'Model inputs'!B14),IF('TenantGuard revenue ramp'!D9="","",'TenantGuard revenue ramp'!D9))</f>
        <v>30</v>
      </c>
      <c r="F6" s="9">
        <f>IF(IF(IF(ISERROR('TenantGuard revenue ramp'!F5=1),'TenantGuard revenue ramp'!F5=1,IF('TenantGuard revenue ramp'!F5="","",'TenantGuard revenue ramp'!F5=1))="",FALSE,IF(ISERROR('TenantGuard revenue ramp'!F5=1),'TenantGuard revenue ramp'!F5=1,IF('TenantGuard revenue ramp'!F5="","",'TenantGuard revenue ramp'!F5=1))),IF('Model inputs'!B14="","",'Model inputs'!B14),IF('TenantGuard revenue ramp'!E9="","",'TenantGuard revenue ramp'!E9))</f>
        <v>40</v>
      </c>
      <c r="G6" s="9">
        <f>IF(IF(IF(ISERROR('TenantGuard revenue ramp'!G5=1),'TenantGuard revenue ramp'!G5=1,IF('TenantGuard revenue ramp'!G5="","",'TenantGuard revenue ramp'!G5=1))="",FALSE,IF(ISERROR('TenantGuard revenue ramp'!G5=1),'TenantGuard revenue ramp'!G5=1,IF('TenantGuard revenue ramp'!G5="","",'TenantGuard revenue ramp'!G5=1))),IF('Model inputs'!B14="","",'Model inputs'!B14),IF('TenantGuard revenue ramp'!F9="","",'TenantGuard revenue ramp'!F9))</f>
        <v>50</v>
      </c>
      <c r="H6" s="9">
        <f>IF(IF(IF(ISERROR('TenantGuard revenue ramp'!H5=1),'TenantGuard revenue ramp'!H5=1,IF('TenantGuard revenue ramp'!H5="","",'TenantGuard revenue ramp'!H5=1))="",FALSE,IF(ISERROR('TenantGuard revenue ramp'!H5=1),'TenantGuard revenue ramp'!H5=1,IF('TenantGuard revenue ramp'!H5="","",'TenantGuard revenue ramp'!H5=1))),IF('Model inputs'!B14="","",'Model inputs'!B14),IF('TenantGuard revenue ramp'!G9="","",'TenantGuard revenue ramp'!G9))</f>
        <v>60</v>
      </c>
      <c r="I6" s="9">
        <f>IF(IF(IF(ISERROR('TenantGuard revenue ramp'!I5=1),'TenantGuard revenue ramp'!I5=1,IF('TenantGuard revenue ramp'!I5="","",'TenantGuard revenue ramp'!I5=1))="",FALSE,IF(ISERROR('TenantGuard revenue ramp'!I5=1),'TenantGuard revenue ramp'!I5=1,IF('TenantGuard revenue ramp'!I5="","",'TenantGuard revenue ramp'!I5=1))),IF('Model inputs'!B14="","",'Model inputs'!B14),IF('TenantGuard revenue ramp'!H9="","",'TenantGuard revenue ramp'!H9))</f>
        <v>70</v>
      </c>
      <c r="J6" s="9">
        <f>IF(IF(IF(ISERROR('TenantGuard revenue ramp'!J5=1),'TenantGuard revenue ramp'!J5=1,IF('TenantGuard revenue ramp'!J5="","",'TenantGuard revenue ramp'!J5=1))="",FALSE,IF(ISERROR('TenantGuard revenue ramp'!J5=1),'TenantGuard revenue ramp'!J5=1,IF('TenantGuard revenue ramp'!J5="","",'TenantGuard revenue ramp'!J5=1))),IF('Model inputs'!B14="","",'Model inputs'!B14),IF('TenantGuard revenue ramp'!I9="","",'TenantGuard revenue ramp'!I9))</f>
        <v>80</v>
      </c>
      <c r="K6" s="9">
        <f>IF(IF(IF(ISERROR('TenantGuard revenue ramp'!K5=1),'TenantGuard revenue ramp'!K5=1,IF('TenantGuard revenue ramp'!K5="","",'TenantGuard revenue ramp'!K5=1))="",FALSE,IF(ISERROR('TenantGuard revenue ramp'!K5=1),'TenantGuard revenue ramp'!K5=1,IF('TenantGuard revenue ramp'!K5="","",'TenantGuard revenue ramp'!K5=1))),IF('Model inputs'!B14="","",'Model inputs'!B14),IF('TenantGuard revenue ramp'!J9="","",'TenantGuard revenue ramp'!J9))</f>
        <v>90</v>
      </c>
      <c r="L6" s="9">
        <f>IF(IF(IF(ISERROR('TenantGuard revenue ramp'!L5=1),'TenantGuard revenue ramp'!L5=1,IF('TenantGuard revenue ramp'!L5="","",'TenantGuard revenue ramp'!L5=1))="",FALSE,IF(ISERROR('TenantGuard revenue ramp'!L5=1),'TenantGuard revenue ramp'!L5=1,IF('TenantGuard revenue ramp'!L5="","",'TenantGuard revenue ramp'!L5=1))),IF('Model inputs'!B14="","",'Model inputs'!B14),IF('TenantGuard revenue ramp'!K9="","",'TenantGuard revenue ramp'!K9))</f>
        <v>100</v>
      </c>
      <c r="M6" s="9">
        <f>IF(IF(IF(ISERROR('TenantGuard revenue ramp'!M5=1),'TenantGuard revenue ramp'!M5=1,IF('TenantGuard revenue ramp'!M5="","",'TenantGuard revenue ramp'!M5=1))="",FALSE,IF(ISERROR('TenantGuard revenue ramp'!M5=1),'TenantGuard revenue ramp'!M5=1,IF('TenantGuard revenue ramp'!M5="","",'TenantGuard revenue ramp'!M5=1))),IF('Model inputs'!B14="","",'Model inputs'!B14),IF('TenantGuard revenue ramp'!L9="","",'TenantGuard revenue ramp'!L9))</f>
        <v>110</v>
      </c>
    </row>
    <row r="7">
      <c r="A7" t="inlineStr" s="8">
        <is>
          <t xml:space="preserve">Gross customer additions</t>
        </is>
      </c>
      <c r="B7" s="9">
        <f>IF(IF(IF(IF(ISERROR('TenantGuard revenue ramp'!B5&lt;='Model inputs'!B10),'TenantGuard revenue ramp'!B5&lt;='Model inputs'!B10,IF(OR('TenantGuard revenue ramp'!B5="",'Model inputs'!B10=""),"",'TenantGuard revenue ramp'!B5&lt;='Model inputs'!B10))="",FALSE,IF(ISERROR('TenantGuard revenue ramp'!B5&lt;='Model inputs'!B10),'TenantGuard revenue ramp'!B5&lt;='Model inputs'!B10,IF(OR('TenantGuard revenue ramp'!B5="",'Model inputs'!B10=""),"",'TenantGuard revenue ramp'!B5&lt;='Model inputs'!B10))),('Model inputs'!B15-'Model inputs'!B14)/'Model inputs'!B10,0)="",0,IF(IF(IF(ISERROR('TenantGuard revenue ramp'!B5&lt;='Model inputs'!B10),'TenantGuard revenue ramp'!B5&lt;='Model inputs'!B10,IF(OR('TenantGuard revenue ramp'!B5="",'Model inputs'!B10=""),"",'TenantGuard revenue ramp'!B5&lt;='Model inputs'!B10))="",FALSE,IF(ISERROR('TenantGuard revenue ramp'!B5&lt;='Model inputs'!B10),'TenantGuard revenue ramp'!B5&lt;='Model inputs'!B10,IF(OR('TenantGuard revenue ramp'!B5="",'Model inputs'!B10=""),"",'TenantGuard revenue ramp'!B5&lt;='Model inputs'!B10))),('Model inputs'!B15-'Model inputs'!B14)/'Model inputs'!B10,0))+'TenantGuard revenue ramp'!B6*'Model inputs'!B16</f>
        <v>10</v>
      </c>
      <c r="C7" s="9">
        <f>IF(IF(IF(IF(ISERROR('TenantGuard revenue ramp'!C5&lt;='Model inputs'!B10),'TenantGuard revenue ramp'!C5&lt;='Model inputs'!B10,IF(OR('TenantGuard revenue ramp'!C5="",'Model inputs'!B10=""),"",'TenantGuard revenue ramp'!C5&lt;='Model inputs'!B10))="",FALSE,IF(ISERROR('TenantGuard revenue ramp'!C5&lt;='Model inputs'!B10),'TenantGuard revenue ramp'!C5&lt;='Model inputs'!B10,IF(OR('TenantGuard revenue ramp'!C5="",'Model inputs'!B10=""),"",'TenantGuard revenue ramp'!C5&lt;='Model inputs'!B10))),('Model inputs'!B15-'Model inputs'!B14)/'Model inputs'!B10,0)="",0,IF(IF(IF(ISERROR('TenantGuard revenue ramp'!C5&lt;='Model inputs'!B10),'TenantGuard revenue ramp'!C5&lt;='Model inputs'!B10,IF(OR('TenantGuard revenue ramp'!C5="",'Model inputs'!B10=""),"",'TenantGuard revenue ramp'!C5&lt;='Model inputs'!B10))="",FALSE,IF(ISERROR('TenantGuard revenue ramp'!C5&lt;='Model inputs'!B10),'TenantGuard revenue ramp'!C5&lt;='Model inputs'!B10,IF(OR('TenantGuard revenue ramp'!C5="",'Model inputs'!B10=""),"",'TenantGuard revenue ramp'!C5&lt;='Model inputs'!B10))),('Model inputs'!B15-'Model inputs'!B14)/'Model inputs'!B10,0))+'TenantGuard revenue ramp'!C6*'Model inputs'!B16</f>
        <v>10.1</v>
      </c>
      <c r="D7" s="9">
        <f>IF(IF(IF(IF(ISERROR('TenantGuard revenue ramp'!D5&lt;='Model inputs'!B10),'TenantGuard revenue ramp'!D5&lt;='Model inputs'!B10,IF(OR('TenantGuard revenue ramp'!D5="",'Model inputs'!B10=""),"",'TenantGuard revenue ramp'!D5&lt;='Model inputs'!B10))="",FALSE,IF(ISERROR('TenantGuard revenue ramp'!D5&lt;='Model inputs'!B10),'TenantGuard revenue ramp'!D5&lt;='Model inputs'!B10,IF(OR('TenantGuard revenue ramp'!D5="",'Model inputs'!B10=""),"",'TenantGuard revenue ramp'!D5&lt;='Model inputs'!B10))),('Model inputs'!B15-'Model inputs'!B14)/'Model inputs'!B10,0)="",0,IF(IF(IF(ISERROR('TenantGuard revenue ramp'!D5&lt;='Model inputs'!B10),'TenantGuard revenue ramp'!D5&lt;='Model inputs'!B10,IF(OR('TenantGuard revenue ramp'!D5="",'Model inputs'!B10=""),"",'TenantGuard revenue ramp'!D5&lt;='Model inputs'!B10))="",FALSE,IF(ISERROR('TenantGuard revenue ramp'!D5&lt;='Model inputs'!B10),'TenantGuard revenue ramp'!D5&lt;='Model inputs'!B10,IF(OR('TenantGuard revenue ramp'!D5="",'Model inputs'!B10=""),"",'TenantGuard revenue ramp'!D5&lt;='Model inputs'!B10))),('Model inputs'!B15-'Model inputs'!B14)/'Model inputs'!B10,0))+'TenantGuard revenue ramp'!D6*'Model inputs'!B16</f>
        <v>10.2</v>
      </c>
      <c r="E7" s="9">
        <f>IF(IF(IF(IF(ISERROR('TenantGuard revenue ramp'!E5&lt;='Model inputs'!B10),'TenantGuard revenue ramp'!E5&lt;='Model inputs'!B10,IF(OR('TenantGuard revenue ramp'!E5="",'Model inputs'!B10=""),"",'TenantGuard revenue ramp'!E5&lt;='Model inputs'!B10))="",FALSE,IF(ISERROR('TenantGuard revenue ramp'!E5&lt;='Model inputs'!B10),'TenantGuard revenue ramp'!E5&lt;='Model inputs'!B10,IF(OR('TenantGuard revenue ramp'!E5="",'Model inputs'!B10=""),"",'TenantGuard revenue ramp'!E5&lt;='Model inputs'!B10))),('Model inputs'!B15-'Model inputs'!B14)/'Model inputs'!B10,0)="",0,IF(IF(IF(ISERROR('TenantGuard revenue ramp'!E5&lt;='Model inputs'!B10),'TenantGuard revenue ramp'!E5&lt;='Model inputs'!B10,IF(OR('TenantGuard revenue ramp'!E5="",'Model inputs'!B10=""),"",'TenantGuard revenue ramp'!E5&lt;='Model inputs'!B10))="",FALSE,IF(ISERROR('TenantGuard revenue ramp'!E5&lt;='Model inputs'!B10),'TenantGuard revenue ramp'!E5&lt;='Model inputs'!B10,IF(OR('TenantGuard revenue ramp'!E5="",'Model inputs'!B10=""),"",'TenantGuard revenue ramp'!E5&lt;='Model inputs'!B10))),('Model inputs'!B15-'Model inputs'!B14)/'Model inputs'!B10,0))+'TenantGuard revenue ramp'!E6*'Model inputs'!B16</f>
        <v>10.3</v>
      </c>
      <c r="F7" s="9">
        <f>IF(IF(IF(IF(ISERROR('TenantGuard revenue ramp'!F5&lt;='Model inputs'!B10),'TenantGuard revenue ramp'!F5&lt;='Model inputs'!B10,IF(OR('TenantGuard revenue ramp'!F5="",'Model inputs'!B10=""),"",'TenantGuard revenue ramp'!F5&lt;='Model inputs'!B10))="",FALSE,IF(ISERROR('TenantGuard revenue ramp'!F5&lt;='Model inputs'!B10),'TenantGuard revenue ramp'!F5&lt;='Model inputs'!B10,IF(OR('TenantGuard revenue ramp'!F5="",'Model inputs'!B10=""),"",'TenantGuard revenue ramp'!F5&lt;='Model inputs'!B10))),('Model inputs'!B15-'Model inputs'!B14)/'Model inputs'!B10,0)="",0,IF(IF(IF(ISERROR('TenantGuard revenue ramp'!F5&lt;='Model inputs'!B10),'TenantGuard revenue ramp'!F5&lt;='Model inputs'!B10,IF(OR('TenantGuard revenue ramp'!F5="",'Model inputs'!B10=""),"",'TenantGuard revenue ramp'!F5&lt;='Model inputs'!B10))="",FALSE,IF(ISERROR('TenantGuard revenue ramp'!F5&lt;='Model inputs'!B10),'TenantGuard revenue ramp'!F5&lt;='Model inputs'!B10,IF(OR('TenantGuard revenue ramp'!F5="",'Model inputs'!B10=""),"",'TenantGuard revenue ramp'!F5&lt;='Model inputs'!B10))),('Model inputs'!B15-'Model inputs'!B14)/'Model inputs'!B10,0))+'TenantGuard revenue ramp'!F6*'Model inputs'!B16</f>
        <v>10.4</v>
      </c>
      <c r="G7" s="9">
        <f>IF(IF(IF(IF(ISERROR('TenantGuard revenue ramp'!G5&lt;='Model inputs'!B10),'TenantGuard revenue ramp'!G5&lt;='Model inputs'!B10,IF(OR('TenantGuard revenue ramp'!G5="",'Model inputs'!B10=""),"",'TenantGuard revenue ramp'!G5&lt;='Model inputs'!B10))="",FALSE,IF(ISERROR('TenantGuard revenue ramp'!G5&lt;='Model inputs'!B10),'TenantGuard revenue ramp'!G5&lt;='Model inputs'!B10,IF(OR('TenantGuard revenue ramp'!G5="",'Model inputs'!B10=""),"",'TenantGuard revenue ramp'!G5&lt;='Model inputs'!B10))),('Model inputs'!B15-'Model inputs'!B14)/'Model inputs'!B10,0)="",0,IF(IF(IF(ISERROR('TenantGuard revenue ramp'!G5&lt;='Model inputs'!B10),'TenantGuard revenue ramp'!G5&lt;='Model inputs'!B10,IF(OR('TenantGuard revenue ramp'!G5="",'Model inputs'!B10=""),"",'TenantGuard revenue ramp'!G5&lt;='Model inputs'!B10))="",FALSE,IF(ISERROR('TenantGuard revenue ramp'!G5&lt;='Model inputs'!B10),'TenantGuard revenue ramp'!G5&lt;='Model inputs'!B10,IF(OR('TenantGuard revenue ramp'!G5="",'Model inputs'!B10=""),"",'TenantGuard revenue ramp'!G5&lt;='Model inputs'!B10))),('Model inputs'!B15-'Model inputs'!B14)/'Model inputs'!B10,0))+'TenantGuard revenue ramp'!G6*'Model inputs'!B16</f>
        <v>10.5</v>
      </c>
      <c r="H7" s="9">
        <f>IF(IF(IF(IF(ISERROR('TenantGuard revenue ramp'!H5&lt;='Model inputs'!B10),'TenantGuard revenue ramp'!H5&lt;='Model inputs'!B10,IF(OR('TenantGuard revenue ramp'!H5="",'Model inputs'!B10=""),"",'TenantGuard revenue ramp'!H5&lt;='Model inputs'!B10))="",FALSE,IF(ISERROR('TenantGuard revenue ramp'!H5&lt;='Model inputs'!B10),'TenantGuard revenue ramp'!H5&lt;='Model inputs'!B10,IF(OR('TenantGuard revenue ramp'!H5="",'Model inputs'!B10=""),"",'TenantGuard revenue ramp'!H5&lt;='Model inputs'!B10))),('Model inputs'!B15-'Model inputs'!B14)/'Model inputs'!B10,0)="",0,IF(IF(IF(ISERROR('TenantGuard revenue ramp'!H5&lt;='Model inputs'!B10),'TenantGuard revenue ramp'!H5&lt;='Model inputs'!B10,IF(OR('TenantGuard revenue ramp'!H5="",'Model inputs'!B10=""),"",'TenantGuard revenue ramp'!H5&lt;='Model inputs'!B10))="",FALSE,IF(ISERROR('TenantGuard revenue ramp'!H5&lt;='Model inputs'!B10),'TenantGuard revenue ramp'!H5&lt;='Model inputs'!B10,IF(OR('TenantGuard revenue ramp'!H5="",'Model inputs'!B10=""),"",'TenantGuard revenue ramp'!H5&lt;='Model inputs'!B10))),('Model inputs'!B15-'Model inputs'!B14)/'Model inputs'!B10,0))+'TenantGuard revenue ramp'!H6*'Model inputs'!B16</f>
        <v>10.6</v>
      </c>
      <c r="I7" s="9">
        <f>IF(IF(IF(IF(ISERROR('TenantGuard revenue ramp'!I5&lt;='Model inputs'!B10),'TenantGuard revenue ramp'!I5&lt;='Model inputs'!B10,IF(OR('TenantGuard revenue ramp'!I5="",'Model inputs'!B10=""),"",'TenantGuard revenue ramp'!I5&lt;='Model inputs'!B10))="",FALSE,IF(ISERROR('TenantGuard revenue ramp'!I5&lt;='Model inputs'!B10),'TenantGuard revenue ramp'!I5&lt;='Model inputs'!B10,IF(OR('TenantGuard revenue ramp'!I5="",'Model inputs'!B10=""),"",'TenantGuard revenue ramp'!I5&lt;='Model inputs'!B10))),('Model inputs'!B15-'Model inputs'!B14)/'Model inputs'!B10,0)="",0,IF(IF(IF(ISERROR('TenantGuard revenue ramp'!I5&lt;='Model inputs'!B10),'TenantGuard revenue ramp'!I5&lt;='Model inputs'!B10,IF(OR('TenantGuard revenue ramp'!I5="",'Model inputs'!B10=""),"",'TenantGuard revenue ramp'!I5&lt;='Model inputs'!B10))="",FALSE,IF(ISERROR('TenantGuard revenue ramp'!I5&lt;='Model inputs'!B10),'TenantGuard revenue ramp'!I5&lt;='Model inputs'!B10,IF(OR('TenantGuard revenue ramp'!I5="",'Model inputs'!B10=""),"",'TenantGuard revenue ramp'!I5&lt;='Model inputs'!B10))),('Model inputs'!B15-'Model inputs'!B14)/'Model inputs'!B10,0))+'TenantGuard revenue ramp'!I6*'Model inputs'!B16</f>
        <v>10.7</v>
      </c>
      <c r="J7" s="9">
        <f>IF(IF(IF(IF(ISERROR('TenantGuard revenue ramp'!J5&lt;='Model inputs'!B10),'TenantGuard revenue ramp'!J5&lt;='Model inputs'!B10,IF(OR('TenantGuard revenue ramp'!J5="",'Model inputs'!B10=""),"",'TenantGuard revenue ramp'!J5&lt;='Model inputs'!B10))="",FALSE,IF(ISERROR('TenantGuard revenue ramp'!J5&lt;='Model inputs'!B10),'TenantGuard revenue ramp'!J5&lt;='Model inputs'!B10,IF(OR('TenantGuard revenue ramp'!J5="",'Model inputs'!B10=""),"",'TenantGuard revenue ramp'!J5&lt;='Model inputs'!B10))),('Model inputs'!B15-'Model inputs'!B14)/'Model inputs'!B10,0)="",0,IF(IF(IF(ISERROR('TenantGuard revenue ramp'!J5&lt;='Model inputs'!B10),'TenantGuard revenue ramp'!J5&lt;='Model inputs'!B10,IF(OR('TenantGuard revenue ramp'!J5="",'Model inputs'!B10=""),"",'TenantGuard revenue ramp'!J5&lt;='Model inputs'!B10))="",FALSE,IF(ISERROR('TenantGuard revenue ramp'!J5&lt;='Model inputs'!B10),'TenantGuard revenue ramp'!J5&lt;='Model inputs'!B10,IF(OR('TenantGuard revenue ramp'!J5="",'Model inputs'!B10=""),"",'TenantGuard revenue ramp'!J5&lt;='Model inputs'!B10))),('Model inputs'!B15-'Model inputs'!B14)/'Model inputs'!B10,0))+'TenantGuard revenue ramp'!J6*'Model inputs'!B16</f>
        <v>10.8</v>
      </c>
      <c r="K7" s="9">
        <f>IF(IF(IF(IF(ISERROR('TenantGuard revenue ramp'!K5&lt;='Model inputs'!B10),'TenantGuard revenue ramp'!K5&lt;='Model inputs'!B10,IF(OR('TenantGuard revenue ramp'!K5="",'Model inputs'!B10=""),"",'TenantGuard revenue ramp'!K5&lt;='Model inputs'!B10))="",FALSE,IF(ISERROR('TenantGuard revenue ramp'!K5&lt;='Model inputs'!B10),'TenantGuard revenue ramp'!K5&lt;='Model inputs'!B10,IF(OR('TenantGuard revenue ramp'!K5="",'Model inputs'!B10=""),"",'TenantGuard revenue ramp'!K5&lt;='Model inputs'!B10))),('Model inputs'!B15-'Model inputs'!B14)/'Model inputs'!B10,0)="",0,IF(IF(IF(ISERROR('TenantGuard revenue ramp'!K5&lt;='Model inputs'!B10),'TenantGuard revenue ramp'!K5&lt;='Model inputs'!B10,IF(OR('TenantGuard revenue ramp'!K5="",'Model inputs'!B10=""),"",'TenantGuard revenue ramp'!K5&lt;='Model inputs'!B10))="",FALSE,IF(ISERROR('TenantGuard revenue ramp'!K5&lt;='Model inputs'!B10),'TenantGuard revenue ramp'!K5&lt;='Model inputs'!B10,IF(OR('TenantGuard revenue ramp'!K5="",'Model inputs'!B10=""),"",'TenantGuard revenue ramp'!K5&lt;='Model inputs'!B10))),('Model inputs'!B15-'Model inputs'!B14)/'Model inputs'!B10,0))+'TenantGuard revenue ramp'!K6*'Model inputs'!B16</f>
        <v>10.9</v>
      </c>
      <c r="L7" s="9">
        <f>IF(IF(IF(IF(ISERROR('TenantGuard revenue ramp'!L5&lt;='Model inputs'!B10),'TenantGuard revenue ramp'!L5&lt;='Model inputs'!B10,IF(OR('TenantGuard revenue ramp'!L5="",'Model inputs'!B10=""),"",'TenantGuard revenue ramp'!L5&lt;='Model inputs'!B10))="",FALSE,IF(ISERROR('TenantGuard revenue ramp'!L5&lt;='Model inputs'!B10),'TenantGuard revenue ramp'!L5&lt;='Model inputs'!B10,IF(OR('TenantGuard revenue ramp'!L5="",'Model inputs'!B10=""),"",'TenantGuard revenue ramp'!L5&lt;='Model inputs'!B10))),('Model inputs'!B15-'Model inputs'!B14)/'Model inputs'!B10,0)="",0,IF(IF(IF(ISERROR('TenantGuard revenue ramp'!L5&lt;='Model inputs'!B10),'TenantGuard revenue ramp'!L5&lt;='Model inputs'!B10,IF(OR('TenantGuard revenue ramp'!L5="",'Model inputs'!B10=""),"",'TenantGuard revenue ramp'!L5&lt;='Model inputs'!B10))="",FALSE,IF(ISERROR('TenantGuard revenue ramp'!L5&lt;='Model inputs'!B10),'TenantGuard revenue ramp'!L5&lt;='Model inputs'!B10,IF(OR('TenantGuard revenue ramp'!L5="",'Model inputs'!B10=""),"",'TenantGuard revenue ramp'!L5&lt;='Model inputs'!B10))),('Model inputs'!B15-'Model inputs'!B14)/'Model inputs'!B10,0))+'TenantGuard revenue ramp'!L6*'Model inputs'!B16</f>
        <v>11</v>
      </c>
      <c r="M7" s="9">
        <f>IF(IF(IF(IF(ISERROR('TenantGuard revenue ramp'!M5&lt;='Model inputs'!B10),'TenantGuard revenue ramp'!M5&lt;='Model inputs'!B10,IF(OR('TenantGuard revenue ramp'!M5="",'Model inputs'!B10=""),"",'TenantGuard revenue ramp'!M5&lt;='Model inputs'!B10))="",FALSE,IF(ISERROR('TenantGuard revenue ramp'!M5&lt;='Model inputs'!B10),'TenantGuard revenue ramp'!M5&lt;='Model inputs'!B10,IF(OR('TenantGuard revenue ramp'!M5="",'Model inputs'!B10=""),"",'TenantGuard revenue ramp'!M5&lt;='Model inputs'!B10))),('Model inputs'!B15-'Model inputs'!B14)/'Model inputs'!B10,0)="",0,IF(IF(IF(ISERROR('TenantGuard revenue ramp'!M5&lt;='Model inputs'!B10),'TenantGuard revenue ramp'!M5&lt;='Model inputs'!B10,IF(OR('TenantGuard revenue ramp'!M5="",'Model inputs'!B10=""),"",'TenantGuard revenue ramp'!M5&lt;='Model inputs'!B10))="",FALSE,IF(ISERROR('TenantGuard revenue ramp'!M5&lt;='Model inputs'!B10),'TenantGuard revenue ramp'!M5&lt;='Model inputs'!B10,IF(OR('TenantGuard revenue ramp'!M5="",'Model inputs'!B10=""),"",'TenantGuard revenue ramp'!M5&lt;='Model inputs'!B10))),('Model inputs'!B15-'Model inputs'!B14)/'Model inputs'!B10,0))+'TenantGuard revenue ramp'!M6*'Model inputs'!B16</f>
        <v>11.1</v>
      </c>
    </row>
    <row r="8">
      <c r="A8" t="inlineStr" s="8">
        <is>
          <t xml:space="preserve">Customer losses</t>
        </is>
      </c>
      <c r="B8" s="9">
        <f>'TenantGuard revenue ramp'!B6*'Model inputs'!B16</f>
        <v>0</v>
      </c>
      <c r="C8" s="9">
        <f>'TenantGuard revenue ramp'!C6*'Model inputs'!B16</f>
        <v>0.1</v>
      </c>
      <c r="D8" s="9">
        <f>'TenantGuard revenue ramp'!D6*'Model inputs'!B16</f>
        <v>0.2</v>
      </c>
      <c r="E8" s="9">
        <f>'TenantGuard revenue ramp'!E6*'Model inputs'!B16</f>
        <v>0.3</v>
      </c>
      <c r="F8" s="9">
        <f>'TenantGuard revenue ramp'!F6*'Model inputs'!B16</f>
        <v>0.4</v>
      </c>
      <c r="G8" s="9">
        <f>'TenantGuard revenue ramp'!G6*'Model inputs'!B16</f>
        <v>0.5</v>
      </c>
      <c r="H8" s="9">
        <f>'TenantGuard revenue ramp'!H6*'Model inputs'!B16</f>
        <v>0.6</v>
      </c>
      <c r="I8" s="9">
        <f>'TenantGuard revenue ramp'!I6*'Model inputs'!B16</f>
        <v>0.7000000000000001</v>
      </c>
      <c r="J8" s="9">
        <f>'TenantGuard revenue ramp'!J6*'Model inputs'!B16</f>
        <v>0.8</v>
      </c>
      <c r="K8" s="9">
        <f>'TenantGuard revenue ramp'!K6*'Model inputs'!B16</f>
        <v>0.9</v>
      </c>
      <c r="L8" s="9">
        <f>'TenantGuard revenue ramp'!L6*'Model inputs'!B16</f>
        <v>1</v>
      </c>
      <c r="M8" s="9">
        <f>'TenantGuard revenue ramp'!M6*'Model inputs'!B16</f>
        <v>1.1</v>
      </c>
    </row>
    <row r="9">
      <c r="A9" t="inlineStr" s="8">
        <is>
          <t xml:space="preserve">Ending customers</t>
        </is>
      </c>
      <c r="B9" s="9">
        <f>'TenantGuard revenue ramp'!B6+'TenantGuard revenue ramp'!B7-'TenantGuard revenue ramp'!B8</f>
        <v>10</v>
      </c>
      <c r="C9" s="9">
        <f>'TenantGuard revenue ramp'!C6+'TenantGuard revenue ramp'!C7-'TenantGuard revenue ramp'!C8</f>
        <v>20</v>
      </c>
      <c r="D9" s="9">
        <f>'TenantGuard revenue ramp'!D6+'TenantGuard revenue ramp'!D7-'TenantGuard revenue ramp'!D8</f>
        <v>30</v>
      </c>
      <c r="E9" s="9">
        <f>'TenantGuard revenue ramp'!E6+'TenantGuard revenue ramp'!E7-'TenantGuard revenue ramp'!E8</f>
        <v>40</v>
      </c>
      <c r="F9" s="9">
        <f>'TenantGuard revenue ramp'!F6+'TenantGuard revenue ramp'!F7-'TenantGuard revenue ramp'!F8</f>
        <v>50</v>
      </c>
      <c r="G9" s="9">
        <f>'TenantGuard revenue ramp'!G6+'TenantGuard revenue ramp'!G7-'TenantGuard revenue ramp'!G8</f>
        <v>60</v>
      </c>
      <c r="H9" s="9">
        <f>'TenantGuard revenue ramp'!H6+'TenantGuard revenue ramp'!H7-'TenantGuard revenue ramp'!H8</f>
        <v>70</v>
      </c>
      <c r="I9" s="9">
        <f>'TenantGuard revenue ramp'!I6+'TenantGuard revenue ramp'!I7-'TenantGuard revenue ramp'!I8</f>
        <v>80</v>
      </c>
      <c r="J9" s="9">
        <f>'TenantGuard revenue ramp'!J6+'TenantGuard revenue ramp'!J7-'TenantGuard revenue ramp'!J8</f>
        <v>90</v>
      </c>
      <c r="K9" s="9">
        <f>'TenantGuard revenue ramp'!K6+'TenantGuard revenue ramp'!K7-'TenantGuard revenue ramp'!K8</f>
        <v>100</v>
      </c>
      <c r="L9" s="9">
        <f>'TenantGuard revenue ramp'!L6+'TenantGuard revenue ramp'!L7-'TenantGuard revenue ramp'!L8</f>
        <v>110</v>
      </c>
      <c r="M9" s="9">
        <f>'TenantGuard revenue ramp'!M6+'TenantGuard revenue ramp'!M7-'TenantGuard revenue ramp'!M8</f>
        <v>120</v>
      </c>
    </row>
    <row r="10">
      <c r="A10" t="inlineStr" s="8">
        <is>
          <t xml:space="preserve">TenantGuard revenue</t>
        </is>
      </c>
      <c r="B10" s="10">
        <f>'TenantGuard revenue ramp'!B9*'Model inputs'!B7</f>
        <v>6500</v>
      </c>
      <c r="C10" s="10">
        <f>'TenantGuard revenue ramp'!C9*'Model inputs'!B7</f>
        <v>13000</v>
      </c>
      <c r="D10" s="10">
        <f>'TenantGuard revenue ramp'!D9*'Model inputs'!B7</f>
        <v>19500</v>
      </c>
      <c r="E10" s="10">
        <f>'TenantGuard revenue ramp'!E9*'Model inputs'!B7</f>
        <v>26000</v>
      </c>
      <c r="F10" s="10">
        <f>'TenantGuard revenue ramp'!F9*'Model inputs'!B7</f>
        <v>32500</v>
      </c>
      <c r="G10" s="10">
        <f>'TenantGuard revenue ramp'!G9*'Model inputs'!B7</f>
        <v>39000</v>
      </c>
      <c r="H10" s="10">
        <f>'TenantGuard revenue ramp'!H9*'Model inputs'!B7</f>
        <v>45500</v>
      </c>
      <c r="I10" s="10">
        <f>'TenantGuard revenue ramp'!I9*'Model inputs'!B7</f>
        <v>52000</v>
      </c>
      <c r="J10" s="10">
        <f>'TenantGuard revenue ramp'!J9*'Model inputs'!B7</f>
        <v>58500</v>
      </c>
      <c r="K10" s="10">
        <f>'TenantGuard revenue ramp'!K9*'Model inputs'!B7</f>
        <v>65000</v>
      </c>
      <c r="L10" s="10">
        <f>'TenantGuard revenue ramp'!L9*'Model inputs'!B7</f>
        <v>71500</v>
      </c>
      <c r="M10" s="10">
        <f>'TenantGuard revenue ramp'!M9*'Model inputs'!B7</f>
        <v>78000</v>
      </c>
    </row>
    <row r="11">
      <c r="A11" t="inlineStr" s="8">
        <is>
          <t xml:space="preserve">Completed remediations</t>
        </is>
      </c>
      <c r="B11" s="9">
        <f>'TenantGuard revenue ramp'!B9*'Model inputs'!B12</f>
        <v>1000</v>
      </c>
      <c r="C11" s="9">
        <f>'TenantGuard revenue ramp'!C9*'Model inputs'!B12</f>
        <v>2000</v>
      </c>
      <c r="D11" s="9">
        <f>'TenantGuard revenue ramp'!D9*'Model inputs'!B12</f>
        <v>3000</v>
      </c>
      <c r="E11" s="9">
        <f>'TenantGuard revenue ramp'!E9*'Model inputs'!B12</f>
        <v>4000</v>
      </c>
      <c r="F11" s="9">
        <f>'TenantGuard revenue ramp'!F9*'Model inputs'!B12</f>
        <v>5000</v>
      </c>
      <c r="G11" s="9">
        <f>'TenantGuard revenue ramp'!G9*'Model inputs'!B12</f>
        <v>6000</v>
      </c>
      <c r="H11" s="9">
        <f>'TenantGuard revenue ramp'!H9*'Model inputs'!B12</f>
        <v>7000</v>
      </c>
      <c r="I11" s="9">
        <f>'TenantGuard revenue ramp'!I9*'Model inputs'!B12</f>
        <v>8000</v>
      </c>
      <c r="J11" s="9">
        <f>'TenantGuard revenue ramp'!J9*'Model inputs'!B12</f>
        <v>9000</v>
      </c>
      <c r="K11" s="9">
        <f>'TenantGuard revenue ramp'!K9*'Model inputs'!B12</f>
        <v>10000</v>
      </c>
      <c r="L11" s="9">
        <f>'TenantGuard revenue ramp'!L9*'Model inputs'!B12</f>
        <v>11000</v>
      </c>
      <c r="M11" s="9">
        <f>'TenantGuard revenue ramp'!M9*'Model inputs'!B12</f>
        <v>12000</v>
      </c>
    </row>
    <row r="12">
      <c r="A12" t="inlineStr" s="8">
        <is>
          <t xml:space="preserve">Remediation compute COGS</t>
        </is>
      </c>
      <c r="B12" s="10">
        <f>'TenantGuard revenue ramp'!B11*('Model inputs'!B18*'Model inputs'!B6+'Model inputs'!B8)</f>
        <v>42.49999999999999</v>
      </c>
      <c r="C12" s="10">
        <f>'TenantGuard revenue ramp'!C11*('Model inputs'!B18*'Model inputs'!B6+'Model inputs'!B8)</f>
        <v>84.99999999999999</v>
      </c>
      <c r="D12" s="10">
        <f>'TenantGuard revenue ramp'!D11*('Model inputs'!B18*'Model inputs'!B6+'Model inputs'!B8)</f>
        <v>127.49999999999999</v>
      </c>
      <c r="E12" s="10">
        <f>'TenantGuard revenue ramp'!E11*('Model inputs'!B18*'Model inputs'!B6+'Model inputs'!B8)</f>
        <v>169.99999999999997</v>
      </c>
      <c r="F12" s="10">
        <f>'TenantGuard revenue ramp'!F11*('Model inputs'!B18*'Model inputs'!B6+'Model inputs'!B8)</f>
        <v>212.49999999999997</v>
      </c>
      <c r="G12" s="10">
        <f>'TenantGuard revenue ramp'!G11*('Model inputs'!B18*'Model inputs'!B6+'Model inputs'!B8)</f>
        <v>254.99999999999997</v>
      </c>
      <c r="H12" s="10">
        <f>'TenantGuard revenue ramp'!H11*('Model inputs'!B18*'Model inputs'!B6+'Model inputs'!B8)</f>
        <v>297.5</v>
      </c>
      <c r="I12" s="10">
        <f>'TenantGuard revenue ramp'!I11*('Model inputs'!B18*'Model inputs'!B6+'Model inputs'!B8)</f>
        <v>339.99999999999994</v>
      </c>
      <c r="J12" s="10">
        <f>'TenantGuard revenue ramp'!J11*('Model inputs'!B18*'Model inputs'!B6+'Model inputs'!B8)</f>
        <v>382.49999999999994</v>
      </c>
      <c r="K12" s="10">
        <f>'TenantGuard revenue ramp'!K11*('Model inputs'!B18*'Model inputs'!B6+'Model inputs'!B8)</f>
        <v>424.99999999999994</v>
      </c>
      <c r="L12" s="10">
        <f>'TenantGuard revenue ramp'!L11*('Model inputs'!B18*'Model inputs'!B6+'Model inputs'!B8)</f>
        <v>467.49999999999994</v>
      </c>
      <c r="M12" s="10">
        <f>'TenantGuard revenue ramp'!M11*('Model inputs'!B18*'Model inputs'!B6+'Model inputs'!B8)</f>
        <v>509.99999999999994</v>
      </c>
    </row>
    <row r="13">
      <c r="A13" t="inlineStr" s="8">
        <is>
          <t xml:space="preserve">Compute gross profit</t>
        </is>
      </c>
      <c r="B13" s="10">
        <f>'TenantGuard revenue ramp'!B10-'TenantGuard revenue ramp'!B12</f>
        <v>6457.5</v>
      </c>
      <c r="C13" s="10">
        <f>'TenantGuard revenue ramp'!C10-'TenantGuard revenue ramp'!C12</f>
        <v>12915</v>
      </c>
      <c r="D13" s="10">
        <f>'TenantGuard revenue ramp'!D10-'TenantGuard revenue ramp'!D12</f>
        <v>19372.5</v>
      </c>
      <c r="E13" s="10">
        <f>'TenantGuard revenue ramp'!E10-'TenantGuard revenue ramp'!E12</f>
        <v>25830</v>
      </c>
      <c r="F13" s="10">
        <f>'TenantGuard revenue ramp'!F10-'TenantGuard revenue ramp'!F12</f>
        <v>32287.5</v>
      </c>
      <c r="G13" s="10">
        <f>'TenantGuard revenue ramp'!G10-'TenantGuard revenue ramp'!G12</f>
        <v>38745</v>
      </c>
      <c r="H13" s="10">
        <f>'TenantGuard revenue ramp'!H10-'TenantGuard revenue ramp'!H12</f>
        <v>45202.5</v>
      </c>
      <c r="I13" s="10">
        <f>'TenantGuard revenue ramp'!I10-'TenantGuard revenue ramp'!I12</f>
        <v>51660</v>
      </c>
      <c r="J13" s="10">
        <f>'TenantGuard revenue ramp'!J10-'TenantGuard revenue ramp'!J12</f>
        <v>58117.5</v>
      </c>
      <c r="K13" s="10">
        <f>'TenantGuard revenue ramp'!K10-'TenantGuard revenue ramp'!K12</f>
        <v>64575</v>
      </c>
      <c r="L13" s="10">
        <f>'TenantGuard revenue ramp'!L10-'TenantGuard revenue ramp'!L12</f>
        <v>71032.5</v>
      </c>
      <c r="M13" s="10">
        <f>'TenantGuard revenue ramp'!M10-'TenantGuard revenue ramp'!M12</f>
        <v>77490</v>
      </c>
    </row>
    <row r="14">
      <c r="A14" t="inlineStr" s="6">
        <is>
          <t xml:space="preserve">Compute gross margin</t>
        </is>
      </c>
      <c r="B14" s="11">
        <f>IFERROR('TenantGuard revenue ramp'!B13/'TenantGuard revenue ramp'!B10,"")</f>
        <v>0.9934615384615385</v>
      </c>
      <c r="C14" s="11">
        <f>IFERROR('TenantGuard revenue ramp'!C13/'TenantGuard revenue ramp'!C10,"")</f>
        <v>0.9934615384615385</v>
      </c>
      <c r="D14" s="11">
        <f>IFERROR('TenantGuard revenue ramp'!D13/'TenantGuard revenue ramp'!D10,"")</f>
        <v>0.9934615384615385</v>
      </c>
      <c r="E14" s="11">
        <f>IFERROR('TenantGuard revenue ramp'!E13/'TenantGuard revenue ramp'!E10,"")</f>
        <v>0.9934615384615385</v>
      </c>
      <c r="F14" s="11">
        <f>IFERROR('TenantGuard revenue ramp'!F13/'TenantGuard revenue ramp'!F10,"")</f>
        <v>0.9934615384615385</v>
      </c>
      <c r="G14" s="11">
        <f>IFERROR('TenantGuard revenue ramp'!G13/'TenantGuard revenue ramp'!G10,"")</f>
        <v>0.9934615384615385</v>
      </c>
      <c r="H14" s="11">
        <f>IFERROR('TenantGuard revenue ramp'!H13/'TenantGuard revenue ramp'!H10,"")</f>
        <v>0.9934615384615385</v>
      </c>
      <c r="I14" s="11">
        <f>IFERROR('TenantGuard revenue ramp'!I13/'TenantGuard revenue ramp'!I10,"")</f>
        <v>0.9934615384615385</v>
      </c>
      <c r="J14" s="11">
        <f>IFERROR('TenantGuard revenue ramp'!J13/'TenantGuard revenue ramp'!J10,"")</f>
        <v>0.9934615384615385</v>
      </c>
      <c r="K14" s="11">
        <f>IFERROR('TenantGuard revenue ramp'!K13/'TenantGuard revenue ramp'!K10,"")</f>
        <v>0.9934615384615385</v>
      </c>
      <c r="L14" s="11">
        <f>IFERROR('TenantGuard revenue ramp'!L13/'TenantGuard revenue ramp'!L10,"")</f>
        <v>0.9934615384615385</v>
      </c>
      <c r="M14" s="11">
        <f>IFERROR('TenantGuard revenue ramp'!M13/'TenantGuard revenue ramp'!M10,"")</f>
        <v>0.9934615384615385</v>
      </c>
    </row>
  </sheetData>
  <mergeCells count="1">
    <mergeCell ref="A1:M1"/>
  </mergeCells>
</worksheet>
</file>

<file path=xl/worksheets/sheet2.xml><?xml version="1.0" encoding="utf-8"?>
<worksheet xmlns="http://schemas.openxmlformats.org/spreadsheetml/2006/main">
  <dimension ref="A1:P18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2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Value</t>
        </is>
      </c>
      <c r="C5" t="inlineStr" s="5">
        <is>
          <t xml:space="preserve">2026-08</t>
        </is>
      </c>
      <c r="D5" t="inlineStr" s="5">
        <is>
          <t xml:space="preserve">2026-09</t>
        </is>
      </c>
      <c r="E5" t="inlineStr" s="4">
        <is>
          <t xml:space="preserve">2026-10</t>
        </is>
      </c>
      <c r="F5" t="inlineStr" s="5">
        <is>
          <t xml:space="preserve">2026-11</t>
        </is>
      </c>
      <c r="G5" t="inlineStr" s="5">
        <is>
          <t xml:space="preserve">2026-12</t>
        </is>
      </c>
      <c r="H5" t="inlineStr" s="4">
        <is>
          <t xml:space="preserve">2027-01</t>
        </is>
      </c>
      <c r="I5" t="inlineStr" s="5">
        <is>
          <t xml:space="preserve">2027-02</t>
        </is>
      </c>
      <c r="J5" t="inlineStr" s="5">
        <is>
          <t xml:space="preserve">2027-03</t>
        </is>
      </c>
      <c r="K5" t="inlineStr" s="4">
        <is>
          <t xml:space="preserve">2027-04</t>
        </is>
      </c>
      <c r="L5" t="inlineStr" s="5">
        <is>
          <t xml:space="preserve">2027-05</t>
        </is>
      </c>
      <c r="M5" t="inlineStr" s="5">
        <is>
          <t xml:space="preserve">2027-06</t>
        </is>
      </c>
      <c r="N5" t="inlineStr" s="4">
        <is>
          <t xml:space="preserve">2027-07</t>
        </is>
      </c>
      <c r="O5" t="inlineStr" s="5">
        <is>
          <t xml:space="preserve">2027-08</t>
        </is>
      </c>
      <c r="P5" t="inlineStr" s="5">
        <is>
          <t xml:space="preserve">2027-09</t>
        </is>
      </c>
    </row>
    <row r="6">
      <c r="A6" t="inlineStr" s="13">
        <is>
          <t xml:space="preserve">Attempts per completed fix</t>
        </is>
      </c>
      <c r="B6" s="9">
        <f>2.5</f>
        <v>2.5</v>
      </c>
    </row>
    <row r="7">
      <c r="A7" t="inlineStr" s="13">
        <is>
          <t xml:space="preserve">Blended monthly ARPA</t>
        </is>
      </c>
      <c r="B7" s="10">
        <f>650</f>
        <v>650</v>
      </c>
    </row>
    <row r="8">
      <c r="A8" t="inlineStr" s="13">
        <is>
          <t xml:space="preserve">Compute cost per completed fix</t>
        </is>
      </c>
      <c r="B8" s="14">
        <f>0.03</f>
        <v>0.03</v>
      </c>
    </row>
    <row r="9">
      <c r="A9" t="inlineStr" s="13">
        <is>
          <t xml:space="preserve">Customer losses</t>
        </is>
      </c>
      <c r="C9" s="9">
        <v>0</v>
      </c>
      <c r="D9" s="9">
        <v>0</v>
      </c>
      <c r="E9" s="9">
        <f>'Model inputs'!E17*'Model inputs'!B16</f>
        <v>0</v>
      </c>
      <c r="F9" s="9">
        <f>'Model inputs'!F17*'Model inputs'!B16</f>
        <v>0.1</v>
      </c>
      <c r="G9" s="9">
        <f>'Model inputs'!G17*'Model inputs'!B16</f>
        <v>0.2</v>
      </c>
      <c r="H9" s="9">
        <f>'Model inputs'!H17*'Model inputs'!B16</f>
        <v>0.3</v>
      </c>
      <c r="I9" s="9">
        <f>'Model inputs'!I17*'Model inputs'!B16</f>
        <v>0.4</v>
      </c>
      <c r="J9" s="9">
        <f>'Model inputs'!J17*'Model inputs'!B16</f>
        <v>0.5</v>
      </c>
      <c r="K9" s="9">
        <f>'Model inputs'!K17*'Model inputs'!B16</f>
        <v>0.6</v>
      </c>
      <c r="L9" s="9">
        <f>'Model inputs'!L17*'Model inputs'!B16</f>
        <v>0.7000000000000001</v>
      </c>
      <c r="M9" s="9">
        <f>'Model inputs'!M17*'Model inputs'!B16</f>
        <v>0.8</v>
      </c>
      <c r="N9" s="9">
        <f>'Model inputs'!N17*'Model inputs'!B16</f>
        <v>0.9</v>
      </c>
      <c r="O9" s="9">
        <f>'Model inputs'!O17*'Model inputs'!B16</f>
        <v>1</v>
      </c>
      <c r="P9" s="9">
        <f>'Model inputs'!P17*'Model inputs'!B16</f>
        <v>1.1</v>
      </c>
    </row>
    <row r="10">
      <c r="A10" t="inlineStr" s="13">
        <is>
          <t xml:space="preserve">Customer ramp months</t>
        </is>
      </c>
      <c r="B10" s="9">
        <f>12</f>
        <v>12</v>
      </c>
    </row>
    <row r="11">
      <c r="A11" t="inlineStr" s="13">
        <is>
          <t xml:space="preserve">Ending customers</t>
        </is>
      </c>
      <c r="C11" s="9">
        <v>0</v>
      </c>
      <c r="D11" s="9">
        <v>0</v>
      </c>
      <c r="E11" s="9">
        <f>'Model inputs'!E17+'TenantGuard revenue ramp'!B7-'Model inputs'!E9</f>
        <v>10</v>
      </c>
      <c r="F11" s="9">
        <f>'Model inputs'!F17+'TenantGuard revenue ramp'!C7-'Model inputs'!F9</f>
        <v>20</v>
      </c>
      <c r="G11" s="9">
        <f>'Model inputs'!G17+'TenantGuard revenue ramp'!D7-'Model inputs'!G9</f>
        <v>30</v>
      </c>
      <c r="H11" s="9">
        <f>'Model inputs'!H17+'TenantGuard revenue ramp'!E7-'Model inputs'!H9</f>
        <v>40</v>
      </c>
      <c r="I11" s="9">
        <f>'Model inputs'!I17+'TenantGuard revenue ramp'!F7-'Model inputs'!I9</f>
        <v>50</v>
      </c>
      <c r="J11" s="9">
        <f>'Model inputs'!J17+'TenantGuard revenue ramp'!G7-'Model inputs'!J9</f>
        <v>60</v>
      </c>
      <c r="K11" s="9">
        <f>'Model inputs'!K17+'TenantGuard revenue ramp'!H7-'Model inputs'!K9</f>
        <v>70</v>
      </c>
      <c r="L11" s="9">
        <f>'Model inputs'!L17+'TenantGuard revenue ramp'!I7-'Model inputs'!L9</f>
        <v>80</v>
      </c>
      <c r="M11" s="9">
        <f>'Model inputs'!M17+'TenantGuard revenue ramp'!J7-'Model inputs'!M9</f>
        <v>90</v>
      </c>
      <c r="N11" s="9">
        <f>'Model inputs'!N17+'TenantGuard revenue ramp'!K7-'Model inputs'!N9</f>
        <v>100</v>
      </c>
      <c r="O11" s="9">
        <f>'Model inputs'!O17+'TenantGuard revenue ramp'!L7-'Model inputs'!O9</f>
        <v>110</v>
      </c>
      <c r="P11" s="9">
        <f>'Model inputs'!P17+'TenantGuard revenue ramp'!M7-'Model inputs'!P9</f>
        <v>120</v>
      </c>
    </row>
    <row r="12">
      <c r="A12" t="inlineStr" s="13">
        <is>
          <t xml:space="preserve">Fixes per customer per month</t>
        </is>
      </c>
      <c r="B12" s="9">
        <f>100</f>
        <v>100</v>
      </c>
    </row>
    <row r="13">
      <c r="A13" t="inlineStr" s="13">
        <is>
          <t xml:space="preserve">Forecast month</t>
        </is>
      </c>
      <c r="C13" s="9">
        <v>0</v>
      </c>
      <c r="D13" s="9">
        <v>0</v>
      </c>
      <c r="E13" s="9">
        <f>DATEDIF(DATE(2026,10,1),DATE(2026,10,1),"M")+1</f>
        <v>1</v>
      </c>
      <c r="F13" s="9">
        <f>DATEDIF(DATE(2026,10,1),DATE(2026,11,1),"M")+1</f>
        <v>2</v>
      </c>
      <c r="G13" s="9">
        <f>DATEDIF(DATE(2026,10,1),DATE(2026,12,1),"M")+1</f>
        <v>3</v>
      </c>
      <c r="H13" s="9">
        <f>DATEDIF(DATE(2026,10,1),DATE(2027,1,1),"M")+1</f>
        <v>4</v>
      </c>
      <c r="I13" s="9">
        <f>DATEDIF(DATE(2026,10,1),DATE(2027,2,1),"M")+1</f>
        <v>5</v>
      </c>
      <c r="J13" s="9">
        <f>DATEDIF(DATE(2026,10,1),DATE(2027,3,1),"M")+1</f>
        <v>6</v>
      </c>
      <c r="K13" s="9">
        <f>DATEDIF(DATE(2026,10,1),DATE(2027,4,1),"M")+1</f>
        <v>7</v>
      </c>
      <c r="L13" s="9">
        <f>DATEDIF(DATE(2026,10,1),DATE(2027,5,1),"M")+1</f>
        <v>8</v>
      </c>
      <c r="M13" s="9">
        <f>DATEDIF(DATE(2026,10,1),DATE(2027,6,1),"M")+1</f>
        <v>9</v>
      </c>
      <c r="N13" s="9">
        <f>DATEDIF(DATE(2026,10,1),DATE(2027,7,1),"M")+1</f>
        <v>10</v>
      </c>
      <c r="O13" s="9">
        <f>DATEDIF(DATE(2026,10,1),DATE(2027,8,1),"M")+1</f>
        <v>11</v>
      </c>
      <c r="P13" s="9">
        <f>DATEDIF(DATE(2026,10,1),DATE(2027,9,1),"M")+1</f>
        <v>12</v>
      </c>
    </row>
    <row r="14">
      <c r="A14" t="inlineStr" s="13">
        <is>
          <t xml:space="preserve">Launch customers</t>
        </is>
      </c>
      <c r="B14" s="9">
        <f>0</f>
        <v>0</v>
      </c>
    </row>
    <row r="15">
      <c r="A15" t="inlineStr" s="13">
        <is>
          <t xml:space="preserve">Month 12 customers</t>
        </is>
      </c>
      <c r="B15" s="9">
        <f>120</f>
        <v>120</v>
      </c>
    </row>
    <row r="16">
      <c r="A16" t="inlineStr" s="13">
        <is>
          <t xml:space="preserve">Monthly customer churn</t>
        </is>
      </c>
      <c r="B16" s="15">
        <f>0.01</f>
        <v>0.01</v>
      </c>
    </row>
    <row r="17">
      <c r="A17" t="inlineStr" s="13">
        <is>
          <t xml:space="preserve">Opening customers</t>
        </is>
      </c>
      <c r="C17" s="9">
        <v>0</v>
      </c>
      <c r="D17" s="9">
        <v>0</v>
      </c>
      <c r="E17" s="9">
        <f>IF(IF(IF(ISERROR('Model inputs'!E13=1),'Model inputs'!E13=1,IF('Model inputs'!E13="","",'Model inputs'!E13=1))="",FALSE,IF(ISERROR('Model inputs'!E13=1),'Model inputs'!E13=1,IF('Model inputs'!E13="","",'Model inputs'!E13=1))),IF('Model inputs'!B14="","",'Model inputs'!B14),IF('Model inputs'!D11="","",'Model inputs'!D11))</f>
        <v>0</v>
      </c>
      <c r="F17" s="9">
        <f>IF(IF(IF(ISERROR('Model inputs'!F13=1),'Model inputs'!F13=1,IF('Model inputs'!F13="","",'Model inputs'!F13=1))="",FALSE,IF(ISERROR('Model inputs'!F13=1),'Model inputs'!F13=1,IF('Model inputs'!F13="","",'Model inputs'!F13=1))),IF('Model inputs'!B14="","",'Model inputs'!B14),IF('Model inputs'!E11="","",'Model inputs'!E11))</f>
        <v>10</v>
      </c>
      <c r="G17" s="9">
        <f>IF(IF(IF(ISERROR('Model inputs'!G13=1),'Model inputs'!G13=1,IF('Model inputs'!G13="","",'Model inputs'!G13=1))="",FALSE,IF(ISERROR('Model inputs'!G13=1),'Model inputs'!G13=1,IF('Model inputs'!G13="","",'Model inputs'!G13=1))),IF('Model inputs'!B14="","",'Model inputs'!B14),IF('Model inputs'!F11="","",'Model inputs'!F11))</f>
        <v>20</v>
      </c>
      <c r="H17" s="9">
        <f>IF(IF(IF(ISERROR('Model inputs'!H13=1),'Model inputs'!H13=1,IF('Model inputs'!H13="","",'Model inputs'!H13=1))="",FALSE,IF(ISERROR('Model inputs'!H13=1),'Model inputs'!H13=1,IF('Model inputs'!H13="","",'Model inputs'!H13=1))),IF('Model inputs'!B14="","",'Model inputs'!B14),IF('Model inputs'!G11="","",'Model inputs'!G11))</f>
        <v>30</v>
      </c>
      <c r="I17" s="9">
        <f>IF(IF(IF(ISERROR('Model inputs'!I13=1),'Model inputs'!I13=1,IF('Model inputs'!I13="","",'Model inputs'!I13=1))="",FALSE,IF(ISERROR('Model inputs'!I13=1),'Model inputs'!I13=1,IF('Model inputs'!I13="","",'Model inputs'!I13=1))),IF('Model inputs'!B14="","",'Model inputs'!B14),IF('Model inputs'!H11="","",'Model inputs'!H11))</f>
        <v>40</v>
      </c>
      <c r="J17" s="9">
        <f>IF(IF(IF(ISERROR('Model inputs'!J13=1),'Model inputs'!J13=1,IF('Model inputs'!J13="","",'Model inputs'!J13=1))="",FALSE,IF(ISERROR('Model inputs'!J13=1),'Model inputs'!J13=1,IF('Model inputs'!J13="","",'Model inputs'!J13=1))),IF('Model inputs'!B14="","",'Model inputs'!B14),IF('Model inputs'!I11="","",'Model inputs'!I11))</f>
        <v>50</v>
      </c>
      <c r="K17" s="9">
        <f>IF(IF(IF(ISERROR('Model inputs'!K13=1),'Model inputs'!K13=1,IF('Model inputs'!K13="","",'Model inputs'!K13=1))="",FALSE,IF(ISERROR('Model inputs'!K13=1),'Model inputs'!K13=1,IF('Model inputs'!K13="","",'Model inputs'!K13=1))),IF('Model inputs'!B14="","",'Model inputs'!B14),IF('Model inputs'!J11="","",'Model inputs'!J11))</f>
        <v>60</v>
      </c>
      <c r="L17" s="9">
        <f>IF(IF(IF(ISERROR('Model inputs'!L13=1),'Model inputs'!L13=1,IF('Model inputs'!L13="","",'Model inputs'!L13=1))="",FALSE,IF(ISERROR('Model inputs'!L13=1),'Model inputs'!L13=1,IF('Model inputs'!L13="","",'Model inputs'!L13=1))),IF('Model inputs'!B14="","",'Model inputs'!B14),IF('Model inputs'!K11="","",'Model inputs'!K11))</f>
        <v>70</v>
      </c>
      <c r="M17" s="9">
        <f>IF(IF(IF(ISERROR('Model inputs'!M13=1),'Model inputs'!M13=1,IF('Model inputs'!M13="","",'Model inputs'!M13=1))="",FALSE,IF(ISERROR('Model inputs'!M13=1),'Model inputs'!M13=1,IF('Model inputs'!M13="","",'Model inputs'!M13=1))),IF('Model inputs'!B14="","",'Model inputs'!B14),IF('Model inputs'!L11="","",'Model inputs'!L11))</f>
        <v>80</v>
      </c>
      <c r="N17" s="9">
        <f>IF(IF(IF(ISERROR('Model inputs'!N13=1),'Model inputs'!N13=1,IF('Model inputs'!N13="","",'Model inputs'!N13=1))="",FALSE,IF(ISERROR('Model inputs'!N13=1),'Model inputs'!N13=1,IF('Model inputs'!N13="","",'Model inputs'!N13=1))),IF('Model inputs'!B14="","",'Model inputs'!B14),IF('Model inputs'!M11="","",'Model inputs'!M11))</f>
        <v>90</v>
      </c>
      <c r="O17" s="9">
        <f>IF(IF(IF(ISERROR('Model inputs'!O13=1),'Model inputs'!O13=1,IF('Model inputs'!O13="","",'Model inputs'!O13=1))="",FALSE,IF(ISERROR('Model inputs'!O13=1),'Model inputs'!O13=1,IF('Model inputs'!O13="","",'Model inputs'!O13=1))),IF('Model inputs'!B14="","",'Model inputs'!B14),IF('Model inputs'!N11="","",'Model inputs'!N11))</f>
        <v>100</v>
      </c>
      <c r="P17" s="9">
        <f>IF(IF(IF(ISERROR('Model inputs'!P13=1),'Model inputs'!P13=1,IF('Model inputs'!P13="","",'Model inputs'!P13=1))="",FALSE,IF(ISERROR('Model inputs'!P13=1),'Model inputs'!P13=1,IF('Model inputs'!P13="","",'Model inputs'!P13=1))),IF('Model inputs'!B14="","",'Model inputs'!B14),IF('Model inputs'!O11="","",'Model inputs'!O11))</f>
        <v>110</v>
      </c>
    </row>
    <row r="18">
      <c r="A18" t="inlineStr" s="13">
        <is>
          <t xml:space="preserve">Token cost per attempt</t>
        </is>
      </c>
      <c r="B18" s="16">
        <f>0.005</f>
        <v>0.005</v>
      </c>
    </row>
  </sheetData>
  <mergeCells count="2">
    <mergeCell ref="A1:P1"/>
    <mergeCell ref="A2:P2"/>
  </mergeCells>
</worksheet>
</file>