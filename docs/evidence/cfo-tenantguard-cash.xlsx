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TenantGuard cash forecast" sheetId="1" r:id="rId1"/>
    <sheet name="Model inputs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&quot;$&quot;#,##0;(&quot;$&quot;#,##0)"/>
    <numFmt numFmtId="165" formatCode="#,##0.###;(#,##0.###)"/>
    <numFmt numFmtId="166" formatCode="#,##0.000;(#,##0.000)"/>
    <numFmt numFmtId="167" formatCode="#,##0.00000;(#,##0.00000)"/>
    <numFmt numFmtId="168" formatCode="0%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4" borderId="1" xfId="0" applyFill="1" applyFont="1" applyBorder="1" applyAlignment="1">
      <alignment vertical="center" horizontal="right"/>
    </xf>
    <xf numFmtId="0" fontId="3" fillId="3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8" fontId="0" fillId="0" borderId="0" xfId="0" applyNumberFormat="1" applyAlignment="1">
      <alignment vertical="center"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AK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  <col min="37" max="37" width="19" customWidth="1"/>
  </cols>
  <sheetData>
    <row r="1" ht="32" customHeight="1">
      <c r="A1" t="inlineStr" s="1">
        <is>
          <t xml:space="preserve">TenantGuard cash forecast</t>
        </is>
      </c>
    </row>
    <row r="2" ht="20" customHeight="1">
      <c r="A2" t="inlineStr" s="2">
        <is>
          <t xml:space="preserve">TenantGuard — Cash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5">
        <is>
          <t xml:space="preserve">2026-11</t>
        </is>
      </c>
      <c r="D4" t="inlineStr" s="5">
        <is>
          <t xml:space="preserve">2026-12</t>
        </is>
      </c>
      <c r="E4" t="inlineStr" s="4">
        <is>
          <t xml:space="preserve">2027-01</t>
        </is>
      </c>
      <c r="F4" t="inlineStr" s="5">
        <is>
          <t xml:space="preserve">2027-02</t>
        </is>
      </c>
      <c r="G4" t="inlineStr" s="5">
        <is>
          <t xml:space="preserve">2027-03</t>
        </is>
      </c>
      <c r="H4" t="inlineStr" s="4">
        <is>
          <t xml:space="preserve">2027-04</t>
        </is>
      </c>
      <c r="I4" t="inlineStr" s="5">
        <is>
          <t xml:space="preserve">2027-05</t>
        </is>
      </c>
      <c r="J4" t="inlineStr" s="5">
        <is>
          <t xml:space="preserve">2027-06</t>
        </is>
      </c>
      <c r="K4" t="inlineStr" s="4">
        <is>
          <t xml:space="preserve">2027-07</t>
        </is>
      </c>
      <c r="L4" t="inlineStr" s="5">
        <is>
          <t xml:space="preserve">2027-08</t>
        </is>
      </c>
      <c r="M4" t="inlineStr" s="5">
        <is>
          <t xml:space="preserve">2027-09</t>
        </is>
      </c>
      <c r="N4" t="inlineStr" s="4">
        <is>
          <t xml:space="preserve">2027-10</t>
        </is>
      </c>
      <c r="O4" t="inlineStr" s="5">
        <is>
          <t xml:space="preserve">2027-11</t>
        </is>
      </c>
      <c r="P4" t="inlineStr" s="5">
        <is>
          <t xml:space="preserve">2027-12</t>
        </is>
      </c>
      <c r="Q4" t="inlineStr" s="4">
        <is>
          <t xml:space="preserve">2028-01</t>
        </is>
      </c>
      <c r="R4" t="inlineStr" s="5">
        <is>
          <t xml:space="preserve">2028-02</t>
        </is>
      </c>
      <c r="S4" t="inlineStr" s="5">
        <is>
          <t xml:space="preserve">2028-03</t>
        </is>
      </c>
      <c r="T4" t="inlineStr" s="4">
        <is>
          <t xml:space="preserve">2028-04</t>
        </is>
      </c>
      <c r="U4" t="inlineStr" s="5">
        <is>
          <t xml:space="preserve">2028-05</t>
        </is>
      </c>
      <c r="V4" t="inlineStr" s="5">
        <is>
          <t xml:space="preserve">2028-06</t>
        </is>
      </c>
      <c r="W4" t="inlineStr" s="4">
        <is>
          <t xml:space="preserve">2028-07</t>
        </is>
      </c>
      <c r="X4" t="inlineStr" s="5">
        <is>
          <t xml:space="preserve">2028-08</t>
        </is>
      </c>
      <c r="Y4" t="inlineStr" s="5">
        <is>
          <t xml:space="preserve">2028-09</t>
        </is>
      </c>
      <c r="Z4" t="inlineStr" s="4">
        <is>
          <t xml:space="preserve">2028-10</t>
        </is>
      </c>
      <c r="AA4" t="inlineStr" s="5">
        <is>
          <t xml:space="preserve">2028-11</t>
        </is>
      </c>
      <c r="AB4" t="inlineStr" s="5">
        <is>
          <t xml:space="preserve">2028-12</t>
        </is>
      </c>
      <c r="AC4" t="inlineStr" s="4">
        <is>
          <t xml:space="preserve">2029-01</t>
        </is>
      </c>
      <c r="AD4" t="inlineStr" s="5">
        <is>
          <t xml:space="preserve">2029-02</t>
        </is>
      </c>
      <c r="AE4" t="inlineStr" s="5">
        <is>
          <t xml:space="preserve">2029-03</t>
        </is>
      </c>
      <c r="AF4" t="inlineStr" s="4">
        <is>
          <t xml:space="preserve">2029-04</t>
        </is>
      </c>
      <c r="AG4" t="inlineStr" s="5">
        <is>
          <t xml:space="preserve">2029-05</t>
        </is>
      </c>
      <c r="AH4" t="inlineStr" s="5">
        <is>
          <t xml:space="preserve">2029-06</t>
        </is>
      </c>
      <c r="AI4" t="inlineStr" s="4">
        <is>
          <t xml:space="preserve">2029-07</t>
        </is>
      </c>
      <c r="AJ4" t="inlineStr" s="5">
        <is>
          <t xml:space="preserve">2029-08</t>
        </is>
      </c>
      <c r="AK4" t="inlineStr" s="5">
        <is>
          <t xml:space="preserve">2029-09</t>
        </is>
      </c>
    </row>
    <row r="5">
      <c r="A5" t="inlineStr" s="6">
        <is>
          <t xml:space="preserve">TenantGuard revenue</t>
        </is>
      </c>
      <c r="B5" s="7">
        <f>'Model inputs'!D10*'Model inputs'!B7</f>
        <v>6500</v>
      </c>
      <c r="C5" s="7">
        <f>'Model inputs'!E10*'Model inputs'!B7</f>
        <v>13000</v>
      </c>
      <c r="D5" s="7">
        <f>'Model inputs'!F10*'Model inputs'!B7</f>
        <v>19500</v>
      </c>
      <c r="E5" s="7">
        <f>'Model inputs'!G10*'Model inputs'!B7</f>
        <v>26000</v>
      </c>
      <c r="F5" s="7">
        <f>'Model inputs'!H10*'Model inputs'!B7</f>
        <v>32500</v>
      </c>
      <c r="G5" s="7">
        <f>'Model inputs'!I10*'Model inputs'!B7</f>
        <v>39000</v>
      </c>
      <c r="H5" s="7">
        <f>'Model inputs'!J10*'Model inputs'!B7</f>
        <v>45500</v>
      </c>
      <c r="I5" s="7">
        <f>'Model inputs'!K10*'Model inputs'!B7</f>
        <v>52000</v>
      </c>
      <c r="J5" s="7">
        <f>'Model inputs'!L10*'Model inputs'!B7</f>
        <v>58500</v>
      </c>
      <c r="K5" s="7">
        <f>'Model inputs'!M10*'Model inputs'!B7</f>
        <v>65000</v>
      </c>
      <c r="L5" s="7">
        <f>'Model inputs'!N10*'Model inputs'!B7</f>
        <v>71500</v>
      </c>
      <c r="M5" s="7">
        <f>'Model inputs'!O10*'Model inputs'!B7</f>
        <v>78000</v>
      </c>
      <c r="N5" s="7">
        <f>'Model inputs'!P10*'Model inputs'!B7</f>
        <v>78000</v>
      </c>
      <c r="O5" s="7">
        <f>'Model inputs'!Q10*'Model inputs'!B7</f>
        <v>78000</v>
      </c>
      <c r="P5" s="7">
        <f>'Model inputs'!R10*'Model inputs'!B7</f>
        <v>78000</v>
      </c>
      <c r="Q5" s="7">
        <f>'Model inputs'!S10*'Model inputs'!B7</f>
        <v>78000</v>
      </c>
      <c r="R5" s="7">
        <f>'Model inputs'!T10*'Model inputs'!B7</f>
        <v>78000</v>
      </c>
      <c r="S5" s="7">
        <f>'Model inputs'!U10*'Model inputs'!B7</f>
        <v>78000</v>
      </c>
      <c r="T5" s="7">
        <f>'Model inputs'!V10*'Model inputs'!B7</f>
        <v>78000</v>
      </c>
      <c r="U5" s="7">
        <f>'Model inputs'!W10*'Model inputs'!B7</f>
        <v>78000</v>
      </c>
      <c r="V5" s="7">
        <f>'Model inputs'!X10*'Model inputs'!B7</f>
        <v>78000</v>
      </c>
      <c r="W5" s="7">
        <f>'Model inputs'!Y10*'Model inputs'!B7</f>
        <v>78000</v>
      </c>
      <c r="X5" s="7">
        <f>'Model inputs'!Z10*'Model inputs'!B7</f>
        <v>78000</v>
      </c>
      <c r="Y5" s="7">
        <f>'Model inputs'!AA10*'Model inputs'!B7</f>
        <v>78000</v>
      </c>
      <c r="Z5" s="7">
        <f>'Model inputs'!AB10*'Model inputs'!B7</f>
        <v>78000</v>
      </c>
      <c r="AA5" s="7">
        <f>'Model inputs'!AC10*'Model inputs'!B7</f>
        <v>78000</v>
      </c>
      <c r="AB5" s="7">
        <f>'Model inputs'!AD10*'Model inputs'!B7</f>
        <v>78000</v>
      </c>
      <c r="AC5" s="7">
        <f>'Model inputs'!AE10*'Model inputs'!B7</f>
        <v>78000</v>
      </c>
      <c r="AD5" s="7">
        <f>'Model inputs'!AF10*'Model inputs'!B7</f>
        <v>78000</v>
      </c>
      <c r="AE5" s="7">
        <f>'Model inputs'!AG10*'Model inputs'!B7</f>
        <v>78000</v>
      </c>
      <c r="AF5" s="7">
        <f>'Model inputs'!AH10*'Model inputs'!B7</f>
        <v>78000</v>
      </c>
      <c r="AG5" s="7">
        <f>'Model inputs'!AI10*'Model inputs'!B7</f>
        <v>78000</v>
      </c>
      <c r="AH5" s="7">
        <f>'Model inputs'!AJ10*'Model inputs'!B7</f>
        <v>78000</v>
      </c>
      <c r="AI5" s="7">
        <f>'Model inputs'!AK10*'Model inputs'!B7</f>
        <v>78000</v>
      </c>
      <c r="AJ5" s="7">
        <f>'Model inputs'!AL10*'Model inputs'!B7</f>
        <v>78000</v>
      </c>
      <c r="AK5" s="7">
        <f>'Model inputs'!AM10*'Model inputs'!B7</f>
        <v>78000</v>
      </c>
    </row>
    <row r="6">
      <c r="A6" t="inlineStr" s="8">
        <is>
          <t xml:space="preserve">Remediation compute COGS</t>
        </is>
      </c>
      <c r="B6" s="9">
        <f>'Model inputs'!D8*('Model inputs'!B18*'Model inputs'!B6+'Model inputs'!B9)</f>
        <v>42.49999999999999</v>
      </c>
      <c r="C6" s="9">
        <f>'Model inputs'!E8*('Model inputs'!B18*'Model inputs'!B6+'Model inputs'!B9)</f>
        <v>84.99999999999999</v>
      </c>
      <c r="D6" s="9">
        <f>'Model inputs'!F8*('Model inputs'!B18*'Model inputs'!B6+'Model inputs'!B9)</f>
        <v>127.49999999999999</v>
      </c>
      <c r="E6" s="9">
        <f>'Model inputs'!G8*('Model inputs'!B18*'Model inputs'!B6+'Model inputs'!B9)</f>
        <v>169.99999999999997</v>
      </c>
      <c r="F6" s="9">
        <f>'Model inputs'!H8*('Model inputs'!B18*'Model inputs'!B6+'Model inputs'!B9)</f>
        <v>212.49999999999997</v>
      </c>
      <c r="G6" s="9">
        <f>'Model inputs'!I8*('Model inputs'!B18*'Model inputs'!B6+'Model inputs'!B9)</f>
        <v>254.99999999999997</v>
      </c>
      <c r="H6" s="9">
        <f>'Model inputs'!J8*('Model inputs'!B18*'Model inputs'!B6+'Model inputs'!B9)</f>
        <v>297.5</v>
      </c>
      <c r="I6" s="9">
        <f>'Model inputs'!K8*('Model inputs'!B18*'Model inputs'!B6+'Model inputs'!B9)</f>
        <v>339.99999999999994</v>
      </c>
      <c r="J6" s="9">
        <f>'Model inputs'!L8*('Model inputs'!B18*'Model inputs'!B6+'Model inputs'!B9)</f>
        <v>382.49999999999994</v>
      </c>
      <c r="K6" s="9">
        <f>'Model inputs'!M8*('Model inputs'!B18*'Model inputs'!B6+'Model inputs'!B9)</f>
        <v>424.99999999999994</v>
      </c>
      <c r="L6" s="9">
        <f>'Model inputs'!N8*('Model inputs'!B18*'Model inputs'!B6+'Model inputs'!B9)</f>
        <v>467.49999999999994</v>
      </c>
      <c r="M6" s="9">
        <f>'Model inputs'!O8*('Model inputs'!B18*'Model inputs'!B6+'Model inputs'!B9)</f>
        <v>509.99999999999994</v>
      </c>
      <c r="N6" s="9">
        <f>'Model inputs'!P8*('Model inputs'!B18*'Model inputs'!B6+'Model inputs'!B9)</f>
        <v>509.99999999999994</v>
      </c>
      <c r="O6" s="9">
        <f>'Model inputs'!Q8*('Model inputs'!B18*'Model inputs'!B6+'Model inputs'!B9)</f>
        <v>509.99999999999994</v>
      </c>
      <c r="P6" s="9">
        <f>'Model inputs'!R8*('Model inputs'!B18*'Model inputs'!B6+'Model inputs'!B9)</f>
        <v>509.99999999999994</v>
      </c>
      <c r="Q6" s="9">
        <f>'Model inputs'!S8*('Model inputs'!B18*'Model inputs'!B6+'Model inputs'!B9)</f>
        <v>509.99999999999994</v>
      </c>
      <c r="R6" s="9">
        <f>'Model inputs'!T8*('Model inputs'!B18*'Model inputs'!B6+'Model inputs'!B9)</f>
        <v>509.99999999999994</v>
      </c>
      <c r="S6" s="9">
        <f>'Model inputs'!U8*('Model inputs'!B18*'Model inputs'!B6+'Model inputs'!B9)</f>
        <v>509.99999999999994</v>
      </c>
      <c r="T6" s="9">
        <f>'Model inputs'!V8*('Model inputs'!B18*'Model inputs'!B6+'Model inputs'!B9)</f>
        <v>509.99999999999994</v>
      </c>
      <c r="U6" s="9">
        <f>'Model inputs'!W8*('Model inputs'!B18*'Model inputs'!B6+'Model inputs'!B9)</f>
        <v>509.99999999999994</v>
      </c>
      <c r="V6" s="9">
        <f>'Model inputs'!X8*('Model inputs'!B18*'Model inputs'!B6+'Model inputs'!B9)</f>
        <v>509.99999999999994</v>
      </c>
      <c r="W6" s="9">
        <f>'Model inputs'!Y8*('Model inputs'!B18*'Model inputs'!B6+'Model inputs'!B9)</f>
        <v>509.99999999999994</v>
      </c>
      <c r="X6" s="9">
        <f>'Model inputs'!Z8*('Model inputs'!B18*'Model inputs'!B6+'Model inputs'!B9)</f>
        <v>509.99999999999994</v>
      </c>
      <c r="Y6" s="9">
        <f>'Model inputs'!AA8*('Model inputs'!B18*'Model inputs'!B6+'Model inputs'!B9)</f>
        <v>509.99999999999994</v>
      </c>
      <c r="Z6" s="9">
        <f>'Model inputs'!AB8*('Model inputs'!B18*'Model inputs'!B6+'Model inputs'!B9)</f>
        <v>509.99999999999994</v>
      </c>
      <c r="AA6" s="9">
        <f>'Model inputs'!AC8*('Model inputs'!B18*'Model inputs'!B6+'Model inputs'!B9)</f>
        <v>509.99999999999994</v>
      </c>
      <c r="AB6" s="9">
        <f>'Model inputs'!AD8*('Model inputs'!B18*'Model inputs'!B6+'Model inputs'!B9)</f>
        <v>509.99999999999994</v>
      </c>
      <c r="AC6" s="9">
        <f>'Model inputs'!AE8*('Model inputs'!B18*'Model inputs'!B6+'Model inputs'!B9)</f>
        <v>509.99999999999994</v>
      </c>
      <c r="AD6" s="9">
        <f>'Model inputs'!AF8*('Model inputs'!B18*'Model inputs'!B6+'Model inputs'!B9)</f>
        <v>509.99999999999994</v>
      </c>
      <c r="AE6" s="9">
        <f>'Model inputs'!AG8*('Model inputs'!B18*'Model inputs'!B6+'Model inputs'!B9)</f>
        <v>509.99999999999994</v>
      </c>
      <c r="AF6" s="9">
        <f>'Model inputs'!AH8*('Model inputs'!B18*'Model inputs'!B6+'Model inputs'!B9)</f>
        <v>509.99999999999994</v>
      </c>
      <c r="AG6" s="9">
        <f>'Model inputs'!AI8*('Model inputs'!B18*'Model inputs'!B6+'Model inputs'!B9)</f>
        <v>509.99999999999994</v>
      </c>
      <c r="AH6" s="9">
        <f>'Model inputs'!AJ8*('Model inputs'!B18*'Model inputs'!B6+'Model inputs'!B9)</f>
        <v>509.99999999999994</v>
      </c>
      <c r="AI6" s="9">
        <f>'Model inputs'!AK8*('Model inputs'!B18*'Model inputs'!B6+'Model inputs'!B9)</f>
        <v>509.99999999999994</v>
      </c>
      <c r="AJ6" s="9">
        <f>'Model inputs'!AL8*('Model inputs'!B18*'Model inputs'!B6+'Model inputs'!B9)</f>
        <v>509.99999999999994</v>
      </c>
      <c r="AK6" s="9">
        <f>'Model inputs'!AM8*('Model inputs'!B18*'Model inputs'!B6+'Model inputs'!B9)</f>
        <v>509.99999999999994</v>
      </c>
    </row>
    <row r="7">
      <c r="A7" t="inlineStr" s="8">
        <is>
          <t xml:space="preserve">TenantGuard fixed operating spend</t>
        </is>
      </c>
      <c r="B7" s="9">
        <f>IF('Model inputs'!B11="","",'Model inputs'!B11)</f>
        <v>50000</v>
      </c>
      <c r="C7" s="9">
        <f>IF('Model inputs'!B11="","",'Model inputs'!B11)</f>
        <v>50000</v>
      </c>
      <c r="D7" s="9">
        <f>IF('Model inputs'!B11="","",'Model inputs'!B11)</f>
        <v>50000</v>
      </c>
      <c r="E7" s="9">
        <f>IF('Model inputs'!B11="","",'Model inputs'!B11)</f>
        <v>50000</v>
      </c>
      <c r="F7" s="9">
        <f>IF('Model inputs'!B11="","",'Model inputs'!B11)</f>
        <v>50000</v>
      </c>
      <c r="G7" s="9">
        <f>IF('Model inputs'!B11="","",'Model inputs'!B11)</f>
        <v>50000</v>
      </c>
      <c r="H7" s="9">
        <f>IF('Model inputs'!B11="","",'Model inputs'!B11)</f>
        <v>50000</v>
      </c>
      <c r="I7" s="9">
        <f>IF('Model inputs'!B11="","",'Model inputs'!B11)</f>
        <v>50000</v>
      </c>
      <c r="J7" s="9">
        <f>IF('Model inputs'!B11="","",'Model inputs'!B11)</f>
        <v>50000</v>
      </c>
      <c r="K7" s="9">
        <f>IF('Model inputs'!B11="","",'Model inputs'!B11)</f>
        <v>50000</v>
      </c>
      <c r="L7" s="9">
        <f>IF('Model inputs'!B11="","",'Model inputs'!B11)</f>
        <v>50000</v>
      </c>
      <c r="M7" s="9">
        <f>IF('Model inputs'!B11="","",'Model inputs'!B11)</f>
        <v>50000</v>
      </c>
      <c r="N7" s="9">
        <f>IF('Model inputs'!B11="","",'Model inputs'!B11)</f>
        <v>50000</v>
      </c>
      <c r="O7" s="9">
        <f>IF('Model inputs'!B11="","",'Model inputs'!B11)</f>
        <v>50000</v>
      </c>
      <c r="P7" s="9">
        <f>IF('Model inputs'!B11="","",'Model inputs'!B11)</f>
        <v>50000</v>
      </c>
      <c r="Q7" s="9">
        <f>IF('Model inputs'!B11="","",'Model inputs'!B11)</f>
        <v>50000</v>
      </c>
      <c r="R7" s="9">
        <f>IF('Model inputs'!B11="","",'Model inputs'!B11)</f>
        <v>50000</v>
      </c>
      <c r="S7" s="9">
        <f>IF('Model inputs'!B11="","",'Model inputs'!B11)</f>
        <v>50000</v>
      </c>
      <c r="T7" s="9">
        <f>IF('Model inputs'!B11="","",'Model inputs'!B11)</f>
        <v>50000</v>
      </c>
      <c r="U7" s="9">
        <f>IF('Model inputs'!B11="","",'Model inputs'!B11)</f>
        <v>50000</v>
      </c>
      <c r="V7" s="9">
        <f>IF('Model inputs'!B11="","",'Model inputs'!B11)</f>
        <v>50000</v>
      </c>
      <c r="W7" s="9">
        <f>IF('Model inputs'!B11="","",'Model inputs'!B11)</f>
        <v>50000</v>
      </c>
      <c r="X7" s="9">
        <f>IF('Model inputs'!B11="","",'Model inputs'!B11)</f>
        <v>50000</v>
      </c>
      <c r="Y7" s="9">
        <f>IF('Model inputs'!B11="","",'Model inputs'!B11)</f>
        <v>50000</v>
      </c>
      <c r="Z7" s="9">
        <f>IF('Model inputs'!B11="","",'Model inputs'!B11)</f>
        <v>50000</v>
      </c>
      <c r="AA7" s="9">
        <f>IF('Model inputs'!B11="","",'Model inputs'!B11)</f>
        <v>50000</v>
      </c>
      <c r="AB7" s="9">
        <f>IF('Model inputs'!B11="","",'Model inputs'!B11)</f>
        <v>50000</v>
      </c>
      <c r="AC7" s="9">
        <f>IF('Model inputs'!B11="","",'Model inputs'!B11)</f>
        <v>50000</v>
      </c>
      <c r="AD7" s="9">
        <f>IF('Model inputs'!B11="","",'Model inputs'!B11)</f>
        <v>50000</v>
      </c>
      <c r="AE7" s="9">
        <f>IF('Model inputs'!B11="","",'Model inputs'!B11)</f>
        <v>50000</v>
      </c>
      <c r="AF7" s="9">
        <f>IF('Model inputs'!B11="","",'Model inputs'!B11)</f>
        <v>50000</v>
      </c>
      <c r="AG7" s="9">
        <f>IF('Model inputs'!B11="","",'Model inputs'!B11)</f>
        <v>50000</v>
      </c>
      <c r="AH7" s="9">
        <f>IF('Model inputs'!B11="","",'Model inputs'!B11)</f>
        <v>50000</v>
      </c>
      <c r="AI7" s="9">
        <f>IF('Model inputs'!B11="","",'Model inputs'!B11)</f>
        <v>50000</v>
      </c>
      <c r="AJ7" s="9">
        <f>IF('Model inputs'!B11="","",'Model inputs'!B11)</f>
        <v>50000</v>
      </c>
      <c r="AK7" s="9">
        <f>IF('Model inputs'!B11="","",'Model inputs'!B11)</f>
        <v>50000</v>
      </c>
    </row>
    <row r="8">
      <c r="A8" t="inlineStr" s="8">
        <is>
          <t xml:space="preserve">TenantGuard net cash flow</t>
        </is>
      </c>
      <c r="B8" s="9">
        <f>'TenantGuard cash forecast'!B5-'TenantGuard cash forecast'!B6-'TenantGuard cash forecast'!B7</f>
        <v>-43542.5</v>
      </c>
      <c r="C8" s="9">
        <f>'TenantGuard cash forecast'!C5-'TenantGuard cash forecast'!C6-'TenantGuard cash forecast'!C7</f>
        <v>-37085</v>
      </c>
      <c r="D8" s="9">
        <f>'TenantGuard cash forecast'!D5-'TenantGuard cash forecast'!D6-'TenantGuard cash forecast'!D7</f>
        <v>-30627.5</v>
      </c>
      <c r="E8" s="9">
        <f>'TenantGuard cash forecast'!E5-'TenantGuard cash forecast'!E6-'TenantGuard cash forecast'!E7</f>
        <v>-24170</v>
      </c>
      <c r="F8" s="9">
        <f>'TenantGuard cash forecast'!F5-'TenantGuard cash forecast'!F6-'TenantGuard cash forecast'!F7</f>
        <v>-17712.5</v>
      </c>
      <c r="G8" s="9">
        <f>'TenantGuard cash forecast'!G5-'TenantGuard cash forecast'!G6-'TenantGuard cash forecast'!G7</f>
        <v>-11255</v>
      </c>
      <c r="H8" s="9">
        <f>'TenantGuard cash forecast'!H5-'TenantGuard cash forecast'!H6-'TenantGuard cash forecast'!H7</f>
        <v>-4797.5</v>
      </c>
      <c r="I8" s="9">
        <f>'TenantGuard cash forecast'!I5-'TenantGuard cash forecast'!I6-'TenantGuard cash forecast'!I7</f>
        <v>1660</v>
      </c>
      <c r="J8" s="9">
        <f>'TenantGuard cash forecast'!J5-'TenantGuard cash forecast'!J6-'TenantGuard cash forecast'!J7</f>
        <v>8117.5</v>
      </c>
      <c r="K8" s="9">
        <f>'TenantGuard cash forecast'!K5-'TenantGuard cash forecast'!K6-'TenantGuard cash forecast'!K7</f>
        <v>14575</v>
      </c>
      <c r="L8" s="9">
        <f>'TenantGuard cash forecast'!L5-'TenantGuard cash forecast'!L6-'TenantGuard cash forecast'!L7</f>
        <v>21032.5</v>
      </c>
      <c r="M8" s="9">
        <f>'TenantGuard cash forecast'!M5-'TenantGuard cash forecast'!M6-'TenantGuard cash forecast'!M7</f>
        <v>27490</v>
      </c>
      <c r="N8" s="9">
        <f>'TenantGuard cash forecast'!N5-'TenantGuard cash forecast'!N6-'TenantGuard cash forecast'!N7</f>
        <v>27490</v>
      </c>
      <c r="O8" s="9">
        <f>'TenantGuard cash forecast'!O5-'TenantGuard cash forecast'!O6-'TenantGuard cash forecast'!O7</f>
        <v>27490</v>
      </c>
      <c r="P8" s="9">
        <f>'TenantGuard cash forecast'!P5-'TenantGuard cash forecast'!P6-'TenantGuard cash forecast'!P7</f>
        <v>27490</v>
      </c>
      <c r="Q8" s="9">
        <f>'TenantGuard cash forecast'!Q5-'TenantGuard cash forecast'!Q6-'TenantGuard cash forecast'!Q7</f>
        <v>27490</v>
      </c>
      <c r="R8" s="9">
        <f>'TenantGuard cash forecast'!R5-'TenantGuard cash forecast'!R6-'TenantGuard cash forecast'!R7</f>
        <v>27490</v>
      </c>
      <c r="S8" s="9">
        <f>'TenantGuard cash forecast'!S5-'TenantGuard cash forecast'!S6-'TenantGuard cash forecast'!S7</f>
        <v>27490</v>
      </c>
      <c r="T8" s="9">
        <f>'TenantGuard cash forecast'!T5-'TenantGuard cash forecast'!T6-'TenantGuard cash forecast'!T7</f>
        <v>27490</v>
      </c>
      <c r="U8" s="9">
        <f>'TenantGuard cash forecast'!U5-'TenantGuard cash forecast'!U6-'TenantGuard cash forecast'!U7</f>
        <v>27490</v>
      </c>
      <c r="V8" s="9">
        <f>'TenantGuard cash forecast'!V5-'TenantGuard cash forecast'!V6-'TenantGuard cash forecast'!V7</f>
        <v>27490</v>
      </c>
      <c r="W8" s="9">
        <f>'TenantGuard cash forecast'!W5-'TenantGuard cash forecast'!W6-'TenantGuard cash forecast'!W7</f>
        <v>27490</v>
      </c>
      <c r="X8" s="9">
        <f>'TenantGuard cash forecast'!X5-'TenantGuard cash forecast'!X6-'TenantGuard cash forecast'!X7</f>
        <v>27490</v>
      </c>
      <c r="Y8" s="9">
        <f>'TenantGuard cash forecast'!Y5-'TenantGuard cash forecast'!Y6-'TenantGuard cash forecast'!Y7</f>
        <v>27490</v>
      </c>
      <c r="Z8" s="9">
        <f>'TenantGuard cash forecast'!Z5-'TenantGuard cash forecast'!Z6-'TenantGuard cash forecast'!Z7</f>
        <v>27490</v>
      </c>
      <c r="AA8" s="9">
        <f>'TenantGuard cash forecast'!AA5-'TenantGuard cash forecast'!AA6-'TenantGuard cash forecast'!AA7</f>
        <v>27490</v>
      </c>
      <c r="AB8" s="9">
        <f>'TenantGuard cash forecast'!AB5-'TenantGuard cash forecast'!AB6-'TenantGuard cash forecast'!AB7</f>
        <v>27490</v>
      </c>
      <c r="AC8" s="9">
        <f>'TenantGuard cash forecast'!AC5-'TenantGuard cash forecast'!AC6-'TenantGuard cash forecast'!AC7</f>
        <v>27490</v>
      </c>
      <c r="AD8" s="9">
        <f>'TenantGuard cash forecast'!AD5-'TenantGuard cash forecast'!AD6-'TenantGuard cash forecast'!AD7</f>
        <v>27490</v>
      </c>
      <c r="AE8" s="9">
        <f>'TenantGuard cash forecast'!AE5-'TenantGuard cash forecast'!AE6-'TenantGuard cash forecast'!AE7</f>
        <v>27490</v>
      </c>
      <c r="AF8" s="9">
        <f>'TenantGuard cash forecast'!AF5-'TenantGuard cash forecast'!AF6-'TenantGuard cash forecast'!AF7</f>
        <v>27490</v>
      </c>
      <c r="AG8" s="9">
        <f>'TenantGuard cash forecast'!AG5-'TenantGuard cash forecast'!AG6-'TenantGuard cash forecast'!AG7</f>
        <v>27490</v>
      </c>
      <c r="AH8" s="9">
        <f>'TenantGuard cash forecast'!AH5-'TenantGuard cash forecast'!AH6-'TenantGuard cash forecast'!AH7</f>
        <v>27490</v>
      </c>
      <c r="AI8" s="9">
        <f>'TenantGuard cash forecast'!AI5-'TenantGuard cash forecast'!AI6-'TenantGuard cash forecast'!AI7</f>
        <v>27490</v>
      </c>
      <c r="AJ8" s="9">
        <f>'TenantGuard cash forecast'!AJ5-'TenantGuard cash forecast'!AJ6-'TenantGuard cash forecast'!AJ7</f>
        <v>27490</v>
      </c>
      <c r="AK8" s="9">
        <f>'TenantGuard cash forecast'!AK5-'TenantGuard cash forecast'!AK6-'TenantGuard cash forecast'!AK7</f>
        <v>27490</v>
      </c>
    </row>
    <row r="9">
      <c r="A9" t="inlineStr" s="6">
        <is>
          <t xml:space="preserve">TenantGuard ending cash</t>
        </is>
      </c>
      <c r="B9" s="7">
        <f>IF(IF(DATE(2026,10,1)=DATE(2026,10,1),IF('Model inputs'!B12="","",'Model inputs'!B12),IF('Model inputs'!C14="","",'Model inputs'!C14))="",0,IF(DATE(2026,10,1)=DATE(2026,10,1),IF('Model inputs'!B12="","",'Model inputs'!B12),IF('Model inputs'!C14="","",'Model inputs'!C14)))+'TenantGuard cash forecast'!B8</f>
        <v>856457.5</v>
      </c>
      <c r="C9" s="7">
        <f>IF(IF(DATE(2026,11,1)=DATE(2026,10,1),IF('Model inputs'!B12="","",'Model inputs'!B12),IF('TenantGuard cash forecast'!B9="","",'TenantGuard cash forecast'!B9))="",0,IF(DATE(2026,11,1)=DATE(2026,10,1),IF('Model inputs'!B12="","",'Model inputs'!B12),IF('TenantGuard cash forecast'!B9="","",'TenantGuard cash forecast'!B9)))+'TenantGuard cash forecast'!C8</f>
        <v>819372.5</v>
      </c>
      <c r="D9" s="7">
        <f>IF(IF(DATE(2026,12,1)=DATE(2026,10,1),IF('Model inputs'!B12="","",'Model inputs'!B12),IF('TenantGuard cash forecast'!C9="","",'TenantGuard cash forecast'!C9))="",0,IF(DATE(2026,12,1)=DATE(2026,10,1),IF('Model inputs'!B12="","",'Model inputs'!B12),IF('TenantGuard cash forecast'!C9="","",'TenantGuard cash forecast'!C9)))+'TenantGuard cash forecast'!D8</f>
        <v>788745</v>
      </c>
      <c r="E9" s="7">
        <f>IF(IF(DATE(2027,1,1)=DATE(2026,10,1),IF('Model inputs'!B12="","",'Model inputs'!B12),IF('TenantGuard cash forecast'!D9="","",'TenantGuard cash forecast'!D9))="",0,IF(DATE(2027,1,1)=DATE(2026,10,1),IF('Model inputs'!B12="","",'Model inputs'!B12),IF('TenantGuard cash forecast'!D9="","",'TenantGuard cash forecast'!D9)))+'TenantGuard cash forecast'!E8</f>
        <v>764575</v>
      </c>
      <c r="F9" s="7">
        <f>IF(IF(DATE(2027,2,1)=DATE(2026,10,1),IF('Model inputs'!B12="","",'Model inputs'!B12),IF('TenantGuard cash forecast'!E9="","",'TenantGuard cash forecast'!E9))="",0,IF(DATE(2027,2,1)=DATE(2026,10,1),IF('Model inputs'!B12="","",'Model inputs'!B12),IF('TenantGuard cash forecast'!E9="","",'TenantGuard cash forecast'!E9)))+'TenantGuard cash forecast'!F8</f>
        <v>746862.5</v>
      </c>
      <c r="G9" s="7">
        <f>IF(IF(DATE(2027,3,1)=DATE(2026,10,1),IF('Model inputs'!B12="","",'Model inputs'!B12),IF('TenantGuard cash forecast'!F9="","",'TenantGuard cash forecast'!F9))="",0,IF(DATE(2027,3,1)=DATE(2026,10,1),IF('Model inputs'!B12="","",'Model inputs'!B12),IF('TenantGuard cash forecast'!F9="","",'TenantGuard cash forecast'!F9)))+'TenantGuard cash forecast'!G8</f>
        <v>735607.5</v>
      </c>
      <c r="H9" s="7">
        <f>IF(IF(DATE(2027,4,1)=DATE(2026,10,1),IF('Model inputs'!B12="","",'Model inputs'!B12),IF('TenantGuard cash forecast'!G9="","",'TenantGuard cash forecast'!G9))="",0,IF(DATE(2027,4,1)=DATE(2026,10,1),IF('Model inputs'!B12="","",'Model inputs'!B12),IF('TenantGuard cash forecast'!G9="","",'TenantGuard cash forecast'!G9)))+'TenantGuard cash forecast'!H8</f>
        <v>730810</v>
      </c>
      <c r="I9" s="7">
        <f>IF(IF(DATE(2027,5,1)=DATE(2026,10,1),IF('Model inputs'!B12="","",'Model inputs'!B12),IF('TenantGuard cash forecast'!H9="","",'TenantGuard cash forecast'!H9))="",0,IF(DATE(2027,5,1)=DATE(2026,10,1),IF('Model inputs'!B12="","",'Model inputs'!B12),IF('TenantGuard cash forecast'!H9="","",'TenantGuard cash forecast'!H9)))+'TenantGuard cash forecast'!I8</f>
        <v>732470</v>
      </c>
      <c r="J9" s="7">
        <f>IF(IF(DATE(2027,6,1)=DATE(2026,10,1),IF('Model inputs'!B12="","",'Model inputs'!B12),IF('TenantGuard cash forecast'!I9="","",'TenantGuard cash forecast'!I9))="",0,IF(DATE(2027,6,1)=DATE(2026,10,1),IF('Model inputs'!B12="","",'Model inputs'!B12),IF('TenantGuard cash forecast'!I9="","",'TenantGuard cash forecast'!I9)))+'TenantGuard cash forecast'!J8</f>
        <v>740587.5</v>
      </c>
      <c r="K9" s="7">
        <f>IF(IF(DATE(2027,7,1)=DATE(2026,10,1),IF('Model inputs'!B12="","",'Model inputs'!B12),IF('TenantGuard cash forecast'!J9="","",'TenantGuard cash forecast'!J9))="",0,IF(DATE(2027,7,1)=DATE(2026,10,1),IF('Model inputs'!B12="","",'Model inputs'!B12),IF('TenantGuard cash forecast'!J9="","",'TenantGuard cash forecast'!J9)))+'TenantGuard cash forecast'!K8</f>
        <v>755162.5</v>
      </c>
      <c r="L9" s="7">
        <f>IF(IF(DATE(2027,8,1)=DATE(2026,10,1),IF('Model inputs'!B12="","",'Model inputs'!B12),IF('TenantGuard cash forecast'!K9="","",'TenantGuard cash forecast'!K9))="",0,IF(DATE(2027,8,1)=DATE(2026,10,1),IF('Model inputs'!B12="","",'Model inputs'!B12),IF('TenantGuard cash forecast'!K9="","",'TenantGuard cash forecast'!K9)))+'TenantGuard cash forecast'!L8</f>
        <v>776195</v>
      </c>
      <c r="M9" s="7">
        <f>IF(IF(DATE(2027,9,1)=DATE(2026,10,1),IF('Model inputs'!B12="","",'Model inputs'!B12),IF('TenantGuard cash forecast'!L9="","",'TenantGuard cash forecast'!L9))="",0,IF(DATE(2027,9,1)=DATE(2026,10,1),IF('Model inputs'!B12="","",'Model inputs'!B12),IF('TenantGuard cash forecast'!L9="","",'TenantGuard cash forecast'!L9)))+'TenantGuard cash forecast'!M8</f>
        <v>803685</v>
      </c>
      <c r="N9" s="7">
        <f>IF(IF(DATE(2027,10,1)=DATE(2026,10,1),IF('Model inputs'!B12="","",'Model inputs'!B12),IF('TenantGuard cash forecast'!M9="","",'TenantGuard cash forecast'!M9))="",0,IF(DATE(2027,10,1)=DATE(2026,10,1),IF('Model inputs'!B12="","",'Model inputs'!B12),IF('TenantGuard cash forecast'!M9="","",'TenantGuard cash forecast'!M9)))+'TenantGuard cash forecast'!N8</f>
        <v>831175</v>
      </c>
      <c r="O9" s="7">
        <f>IF(IF(DATE(2027,11,1)=DATE(2026,10,1),IF('Model inputs'!B12="","",'Model inputs'!B12),IF('TenantGuard cash forecast'!N9="","",'TenantGuard cash forecast'!N9))="",0,IF(DATE(2027,11,1)=DATE(2026,10,1),IF('Model inputs'!B12="","",'Model inputs'!B12),IF('TenantGuard cash forecast'!N9="","",'TenantGuard cash forecast'!N9)))+'TenantGuard cash forecast'!O8</f>
        <v>858665</v>
      </c>
      <c r="P9" s="7">
        <f>IF(IF(DATE(2027,12,1)=DATE(2026,10,1),IF('Model inputs'!B12="","",'Model inputs'!B12),IF('TenantGuard cash forecast'!O9="","",'TenantGuard cash forecast'!O9))="",0,IF(DATE(2027,12,1)=DATE(2026,10,1),IF('Model inputs'!B12="","",'Model inputs'!B12),IF('TenantGuard cash forecast'!O9="","",'TenantGuard cash forecast'!O9)))+'TenantGuard cash forecast'!P8</f>
        <v>886155</v>
      </c>
      <c r="Q9" s="7">
        <f>IF(IF(DATE(2028,1,1)=DATE(2026,10,1),IF('Model inputs'!B12="","",'Model inputs'!B12),IF('TenantGuard cash forecast'!P9="","",'TenantGuard cash forecast'!P9))="",0,IF(DATE(2028,1,1)=DATE(2026,10,1),IF('Model inputs'!B12="","",'Model inputs'!B12),IF('TenantGuard cash forecast'!P9="","",'TenantGuard cash forecast'!P9)))+'TenantGuard cash forecast'!Q8</f>
        <v>913645</v>
      </c>
      <c r="R9" s="7">
        <f>IF(IF(DATE(2028,2,1)=DATE(2026,10,1),IF('Model inputs'!B12="","",'Model inputs'!B12),IF('TenantGuard cash forecast'!Q9="","",'TenantGuard cash forecast'!Q9))="",0,IF(DATE(2028,2,1)=DATE(2026,10,1),IF('Model inputs'!B12="","",'Model inputs'!B12),IF('TenantGuard cash forecast'!Q9="","",'TenantGuard cash forecast'!Q9)))+'TenantGuard cash forecast'!R8</f>
        <v>941135</v>
      </c>
      <c r="S9" s="7">
        <f>IF(IF(DATE(2028,3,1)=DATE(2026,10,1),IF('Model inputs'!B12="","",'Model inputs'!B12),IF('TenantGuard cash forecast'!R9="","",'TenantGuard cash forecast'!R9))="",0,IF(DATE(2028,3,1)=DATE(2026,10,1),IF('Model inputs'!B12="","",'Model inputs'!B12),IF('TenantGuard cash forecast'!R9="","",'TenantGuard cash forecast'!R9)))+'TenantGuard cash forecast'!S8</f>
        <v>968625</v>
      </c>
      <c r="T9" s="7">
        <f>IF(IF(DATE(2028,4,1)=DATE(2026,10,1),IF('Model inputs'!B12="","",'Model inputs'!B12),IF('TenantGuard cash forecast'!S9="","",'TenantGuard cash forecast'!S9))="",0,IF(DATE(2028,4,1)=DATE(2026,10,1),IF('Model inputs'!B12="","",'Model inputs'!B12),IF('TenantGuard cash forecast'!S9="","",'TenantGuard cash forecast'!S9)))+'TenantGuard cash forecast'!T8</f>
        <v>996115</v>
      </c>
      <c r="U9" s="7">
        <f>IF(IF(DATE(2028,5,1)=DATE(2026,10,1),IF('Model inputs'!B12="","",'Model inputs'!B12),IF('TenantGuard cash forecast'!T9="","",'TenantGuard cash forecast'!T9))="",0,IF(DATE(2028,5,1)=DATE(2026,10,1),IF('Model inputs'!B12="","",'Model inputs'!B12),IF('TenantGuard cash forecast'!T9="","",'TenantGuard cash forecast'!T9)))+'TenantGuard cash forecast'!U8</f>
        <v>1023605</v>
      </c>
      <c r="V9" s="7">
        <f>IF(IF(DATE(2028,6,1)=DATE(2026,10,1),IF('Model inputs'!B12="","",'Model inputs'!B12),IF('TenantGuard cash forecast'!U9="","",'TenantGuard cash forecast'!U9))="",0,IF(DATE(2028,6,1)=DATE(2026,10,1),IF('Model inputs'!B12="","",'Model inputs'!B12),IF('TenantGuard cash forecast'!U9="","",'TenantGuard cash forecast'!U9)))+'TenantGuard cash forecast'!V8</f>
        <v>1051095</v>
      </c>
      <c r="W9" s="7">
        <f>IF(IF(DATE(2028,7,1)=DATE(2026,10,1),IF('Model inputs'!B12="","",'Model inputs'!B12),IF('TenantGuard cash forecast'!V9="","",'TenantGuard cash forecast'!V9))="",0,IF(DATE(2028,7,1)=DATE(2026,10,1),IF('Model inputs'!B12="","",'Model inputs'!B12),IF('TenantGuard cash forecast'!V9="","",'TenantGuard cash forecast'!V9)))+'TenantGuard cash forecast'!W8</f>
        <v>1078585</v>
      </c>
      <c r="X9" s="7">
        <f>IF(IF(DATE(2028,8,1)=DATE(2026,10,1),IF('Model inputs'!B12="","",'Model inputs'!B12),IF('TenantGuard cash forecast'!W9="","",'TenantGuard cash forecast'!W9))="",0,IF(DATE(2028,8,1)=DATE(2026,10,1),IF('Model inputs'!B12="","",'Model inputs'!B12),IF('TenantGuard cash forecast'!W9="","",'TenantGuard cash forecast'!W9)))+'TenantGuard cash forecast'!X8</f>
        <v>1106075</v>
      </c>
      <c r="Y9" s="7">
        <f>IF(IF(DATE(2028,9,1)=DATE(2026,10,1),IF('Model inputs'!B12="","",'Model inputs'!B12),IF('TenantGuard cash forecast'!X9="","",'TenantGuard cash forecast'!X9))="",0,IF(DATE(2028,9,1)=DATE(2026,10,1),IF('Model inputs'!B12="","",'Model inputs'!B12),IF('TenantGuard cash forecast'!X9="","",'TenantGuard cash forecast'!X9)))+'TenantGuard cash forecast'!Y8</f>
        <v>1133565</v>
      </c>
      <c r="Z9" s="7">
        <f>IF(IF(DATE(2028,10,1)=DATE(2026,10,1),IF('Model inputs'!B12="","",'Model inputs'!B12),IF('TenantGuard cash forecast'!Y9="","",'TenantGuard cash forecast'!Y9))="",0,IF(DATE(2028,10,1)=DATE(2026,10,1),IF('Model inputs'!B12="","",'Model inputs'!B12),IF('TenantGuard cash forecast'!Y9="","",'TenantGuard cash forecast'!Y9)))+'TenantGuard cash forecast'!Z8</f>
        <v>1161055</v>
      </c>
      <c r="AA9" s="7">
        <f>IF(IF(DATE(2028,11,1)=DATE(2026,10,1),IF('Model inputs'!B12="","",'Model inputs'!B12),IF('TenantGuard cash forecast'!Z9="","",'TenantGuard cash forecast'!Z9))="",0,IF(DATE(2028,11,1)=DATE(2026,10,1),IF('Model inputs'!B12="","",'Model inputs'!B12),IF('TenantGuard cash forecast'!Z9="","",'TenantGuard cash forecast'!Z9)))+'TenantGuard cash forecast'!AA8</f>
        <v>1188545</v>
      </c>
      <c r="AB9" s="7">
        <f>IF(IF(DATE(2028,12,1)=DATE(2026,10,1),IF('Model inputs'!B12="","",'Model inputs'!B12),IF('TenantGuard cash forecast'!AA9="","",'TenantGuard cash forecast'!AA9))="",0,IF(DATE(2028,12,1)=DATE(2026,10,1),IF('Model inputs'!B12="","",'Model inputs'!B12),IF('TenantGuard cash forecast'!AA9="","",'TenantGuard cash forecast'!AA9)))+'TenantGuard cash forecast'!AB8</f>
        <v>1216035</v>
      </c>
      <c r="AC9" s="7">
        <f>IF(IF(DATE(2029,1,1)=DATE(2026,10,1),IF('Model inputs'!B12="","",'Model inputs'!B12),IF('TenantGuard cash forecast'!AB9="","",'TenantGuard cash forecast'!AB9))="",0,IF(DATE(2029,1,1)=DATE(2026,10,1),IF('Model inputs'!B12="","",'Model inputs'!B12),IF('TenantGuard cash forecast'!AB9="","",'TenantGuard cash forecast'!AB9)))+'TenantGuard cash forecast'!AC8</f>
        <v>1243525</v>
      </c>
      <c r="AD9" s="7">
        <f>IF(IF(DATE(2029,2,1)=DATE(2026,10,1),IF('Model inputs'!B12="","",'Model inputs'!B12),IF('TenantGuard cash forecast'!AC9="","",'TenantGuard cash forecast'!AC9))="",0,IF(DATE(2029,2,1)=DATE(2026,10,1),IF('Model inputs'!B12="","",'Model inputs'!B12),IF('TenantGuard cash forecast'!AC9="","",'TenantGuard cash forecast'!AC9)))+'TenantGuard cash forecast'!AD8</f>
        <v>1271015</v>
      </c>
      <c r="AE9" s="7">
        <f>IF(IF(DATE(2029,3,1)=DATE(2026,10,1),IF('Model inputs'!B12="","",'Model inputs'!B12),IF('TenantGuard cash forecast'!AD9="","",'TenantGuard cash forecast'!AD9))="",0,IF(DATE(2029,3,1)=DATE(2026,10,1),IF('Model inputs'!B12="","",'Model inputs'!B12),IF('TenantGuard cash forecast'!AD9="","",'TenantGuard cash forecast'!AD9)))+'TenantGuard cash forecast'!AE8</f>
        <v>1298505</v>
      </c>
      <c r="AF9" s="7">
        <f>IF(IF(DATE(2029,4,1)=DATE(2026,10,1),IF('Model inputs'!B12="","",'Model inputs'!B12),IF('TenantGuard cash forecast'!AE9="","",'TenantGuard cash forecast'!AE9))="",0,IF(DATE(2029,4,1)=DATE(2026,10,1),IF('Model inputs'!B12="","",'Model inputs'!B12),IF('TenantGuard cash forecast'!AE9="","",'TenantGuard cash forecast'!AE9)))+'TenantGuard cash forecast'!AF8</f>
        <v>1325995</v>
      </c>
      <c r="AG9" s="7">
        <f>IF(IF(DATE(2029,5,1)=DATE(2026,10,1),IF('Model inputs'!B12="","",'Model inputs'!B12),IF('TenantGuard cash forecast'!AF9="","",'TenantGuard cash forecast'!AF9))="",0,IF(DATE(2029,5,1)=DATE(2026,10,1),IF('Model inputs'!B12="","",'Model inputs'!B12),IF('TenantGuard cash forecast'!AF9="","",'TenantGuard cash forecast'!AF9)))+'TenantGuard cash forecast'!AG8</f>
        <v>1353485</v>
      </c>
      <c r="AH9" s="7">
        <f>IF(IF(DATE(2029,6,1)=DATE(2026,10,1),IF('Model inputs'!B12="","",'Model inputs'!B12),IF('TenantGuard cash forecast'!AG9="","",'TenantGuard cash forecast'!AG9))="",0,IF(DATE(2029,6,1)=DATE(2026,10,1),IF('Model inputs'!B12="","",'Model inputs'!B12),IF('TenantGuard cash forecast'!AG9="","",'TenantGuard cash forecast'!AG9)))+'TenantGuard cash forecast'!AH8</f>
        <v>1380975</v>
      </c>
      <c r="AI9" s="7">
        <f>IF(IF(DATE(2029,7,1)=DATE(2026,10,1),IF('Model inputs'!B12="","",'Model inputs'!B12),IF('TenantGuard cash forecast'!AH9="","",'TenantGuard cash forecast'!AH9))="",0,IF(DATE(2029,7,1)=DATE(2026,10,1),IF('Model inputs'!B12="","",'Model inputs'!B12),IF('TenantGuard cash forecast'!AH9="","",'TenantGuard cash forecast'!AH9)))+'TenantGuard cash forecast'!AI8</f>
        <v>1408465</v>
      </c>
      <c r="AJ9" s="7">
        <f>IF(IF(DATE(2029,8,1)=DATE(2026,10,1),IF('Model inputs'!B12="","",'Model inputs'!B12),IF('TenantGuard cash forecast'!AI9="","",'TenantGuard cash forecast'!AI9))="",0,IF(DATE(2029,8,1)=DATE(2026,10,1),IF('Model inputs'!B12="","",'Model inputs'!B12),IF('TenantGuard cash forecast'!AI9="","",'TenantGuard cash forecast'!AI9)))+'TenantGuard cash forecast'!AJ8</f>
        <v>1435955</v>
      </c>
      <c r="AK9" s="7">
        <f>IF(IF(DATE(2029,9,1)=DATE(2026,10,1),IF('Model inputs'!B12="","",'Model inputs'!B12),IF('TenantGuard cash forecast'!AJ9="","",'TenantGuard cash forecast'!AJ9))="",0,IF(DATE(2029,9,1)=DATE(2026,10,1),IF('Model inputs'!B12="","",'Model inputs'!B12),IF('TenantGuard cash forecast'!AJ9="","",'TenantGuard cash forecast'!AJ9)))+'TenantGuard cash forecast'!AK8</f>
        <v>1463445</v>
      </c>
    </row>
  </sheetData>
  <mergeCells count="1">
    <mergeCell ref="A1:AK1"/>
  </mergeCells>
</worksheet>
</file>

<file path=xl/worksheets/sheet2.xml><?xml version="1.0" encoding="utf-8"?>
<worksheet xmlns="http://schemas.openxmlformats.org/spreadsheetml/2006/main">
  <dimension ref="A1:AU30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19" customWidth="1"/>
    <col min="43" max="43" width="19" customWidth="1"/>
    <col min="44" max="44" width="19" customWidth="1"/>
    <col min="45" max="45" width="19" customWidth="1"/>
    <col min="46" max="46" width="19" customWidth="1"/>
    <col min="47" max="47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0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5">
        <is>
          <t xml:space="preserve">Value</t>
        </is>
      </c>
      <c r="C5" t="inlineStr" s="5">
        <is>
          <t xml:space="preserve">2026-09</t>
        </is>
      </c>
      <c r="D5" t="inlineStr" s="4">
        <is>
          <t xml:space="preserve">2026-10</t>
        </is>
      </c>
      <c r="E5" t="inlineStr" s="5">
        <is>
          <t xml:space="preserve">2026-11</t>
        </is>
      </c>
      <c r="F5" t="inlineStr" s="5">
        <is>
          <t xml:space="preserve">2026-12</t>
        </is>
      </c>
      <c r="G5" t="inlineStr" s="4">
        <is>
          <t xml:space="preserve">2027-01</t>
        </is>
      </c>
      <c r="H5" t="inlineStr" s="5">
        <is>
          <t xml:space="preserve">2027-02</t>
        </is>
      </c>
      <c r="I5" t="inlineStr" s="5">
        <is>
          <t xml:space="preserve">2027-03</t>
        </is>
      </c>
      <c r="J5" t="inlineStr" s="4">
        <is>
          <t xml:space="preserve">2027-04</t>
        </is>
      </c>
      <c r="K5" t="inlineStr" s="5">
        <is>
          <t xml:space="preserve">2027-05</t>
        </is>
      </c>
      <c r="L5" t="inlineStr" s="5">
        <is>
          <t xml:space="preserve">2027-06</t>
        </is>
      </c>
      <c r="M5" t="inlineStr" s="4">
        <is>
          <t xml:space="preserve">2027-07</t>
        </is>
      </c>
      <c r="N5" t="inlineStr" s="5">
        <is>
          <t xml:space="preserve">2027-08</t>
        </is>
      </c>
      <c r="O5" t="inlineStr" s="5">
        <is>
          <t xml:space="preserve">2027-09</t>
        </is>
      </c>
      <c r="P5" t="inlineStr" s="4">
        <is>
          <t xml:space="preserve">2027-10</t>
        </is>
      </c>
      <c r="Q5" t="inlineStr" s="5">
        <is>
          <t xml:space="preserve">2027-11</t>
        </is>
      </c>
      <c r="R5" t="inlineStr" s="5">
        <is>
          <t xml:space="preserve">2027-12</t>
        </is>
      </c>
      <c r="S5" t="inlineStr" s="4">
        <is>
          <t xml:space="preserve">2028-01</t>
        </is>
      </c>
      <c r="T5" t="inlineStr" s="5">
        <is>
          <t xml:space="preserve">2028-02</t>
        </is>
      </c>
      <c r="U5" t="inlineStr" s="5">
        <is>
          <t xml:space="preserve">2028-03</t>
        </is>
      </c>
      <c r="V5" t="inlineStr" s="4">
        <is>
          <t xml:space="preserve">2028-04</t>
        </is>
      </c>
      <c r="W5" t="inlineStr" s="5">
        <is>
          <t xml:space="preserve">2028-05</t>
        </is>
      </c>
      <c r="X5" t="inlineStr" s="5">
        <is>
          <t xml:space="preserve">2028-06</t>
        </is>
      </c>
      <c r="Y5" t="inlineStr" s="4">
        <is>
          <t xml:space="preserve">2028-07</t>
        </is>
      </c>
      <c r="Z5" t="inlineStr" s="5">
        <is>
          <t xml:space="preserve">2028-08</t>
        </is>
      </c>
      <c r="AA5" t="inlineStr" s="5">
        <is>
          <t xml:space="preserve">2028-09</t>
        </is>
      </c>
      <c r="AB5" t="inlineStr" s="4">
        <is>
          <t xml:space="preserve">2028-10</t>
        </is>
      </c>
      <c r="AC5" t="inlineStr" s="5">
        <is>
          <t xml:space="preserve">2028-11</t>
        </is>
      </c>
      <c r="AD5" t="inlineStr" s="5">
        <is>
          <t xml:space="preserve">2028-12</t>
        </is>
      </c>
      <c r="AE5" t="inlineStr" s="4">
        <is>
          <t xml:space="preserve">2029-01</t>
        </is>
      </c>
      <c r="AF5" t="inlineStr" s="5">
        <is>
          <t xml:space="preserve">2029-02</t>
        </is>
      </c>
      <c r="AG5" t="inlineStr" s="5">
        <is>
          <t xml:space="preserve">2029-03</t>
        </is>
      </c>
      <c r="AH5" t="inlineStr" s="4">
        <is>
          <t xml:space="preserve">2029-04</t>
        </is>
      </c>
      <c r="AI5" t="inlineStr" s="5">
        <is>
          <t xml:space="preserve">2029-05</t>
        </is>
      </c>
      <c r="AJ5" t="inlineStr" s="5">
        <is>
          <t xml:space="preserve">2029-06</t>
        </is>
      </c>
      <c r="AK5" t="inlineStr" s="4">
        <is>
          <t xml:space="preserve">2029-07</t>
        </is>
      </c>
      <c r="AL5" t="inlineStr" s="5">
        <is>
          <t xml:space="preserve">2029-08</t>
        </is>
      </c>
      <c r="AM5" t="inlineStr" s="5">
        <is>
          <t xml:space="preserve">2029-09</t>
        </is>
      </c>
      <c r="AN5" t="inlineStr" s="4">
        <is>
          <t xml:space="preserve">2026-01</t>
        </is>
      </c>
      <c r="AO5" t="inlineStr" s="5">
        <is>
          <t xml:space="preserve">2026-02</t>
        </is>
      </c>
      <c r="AP5" t="inlineStr" s="5">
        <is>
          <t xml:space="preserve">2026-03</t>
        </is>
      </c>
      <c r="AQ5" t="inlineStr" s="4">
        <is>
          <t xml:space="preserve">2026-04</t>
        </is>
      </c>
      <c r="AR5" t="inlineStr" s="5">
        <is>
          <t xml:space="preserve">2026-05</t>
        </is>
      </c>
      <c r="AS5" t="inlineStr" s="5">
        <is>
          <t xml:space="preserve">2026-06</t>
        </is>
      </c>
      <c r="AT5" t="inlineStr" s="4">
        <is>
          <t xml:space="preserve">2026-07</t>
        </is>
      </c>
      <c r="AU5" t="inlineStr" s="5">
        <is>
          <t xml:space="preserve">2026-08</t>
        </is>
      </c>
    </row>
    <row r="6">
      <c r="A6" t="inlineStr" s="11">
        <is>
          <t xml:space="preserve">Attempts per completed fix</t>
        </is>
      </c>
      <c r="B6" s="12">
        <f>2.5</f>
        <v>2.5</v>
      </c>
    </row>
    <row r="7">
      <c r="A7" t="inlineStr" s="11">
        <is>
          <t xml:space="preserve">Blended monthly ARPA</t>
        </is>
      </c>
      <c r="B7" s="9">
        <f>650</f>
        <v>650</v>
      </c>
    </row>
    <row r="8">
      <c r="A8" t="inlineStr" s="11">
        <is>
          <t xml:space="preserve">Completed remediations</t>
        </is>
      </c>
      <c r="C8" s="12">
        <v>0</v>
      </c>
      <c r="D8" s="12">
        <f>'Model inputs'!D10*'Model inputs'!B20</f>
        <v>1000</v>
      </c>
      <c r="E8" s="12">
        <f>'Model inputs'!E10*'Model inputs'!B20</f>
        <v>2000</v>
      </c>
      <c r="F8" s="12">
        <f>'Model inputs'!F10*'Model inputs'!B20</f>
        <v>3000</v>
      </c>
      <c r="G8" s="12">
        <f>'Model inputs'!G10*'Model inputs'!B20</f>
        <v>4000</v>
      </c>
      <c r="H8" s="12">
        <f>'Model inputs'!H10*'Model inputs'!B20</f>
        <v>5000</v>
      </c>
      <c r="I8" s="12">
        <f>'Model inputs'!I10*'Model inputs'!B20</f>
        <v>6000</v>
      </c>
      <c r="J8" s="12">
        <f>'Model inputs'!J10*'Model inputs'!B20</f>
        <v>7000</v>
      </c>
      <c r="K8" s="12">
        <f>'Model inputs'!K10*'Model inputs'!B20</f>
        <v>8000</v>
      </c>
      <c r="L8" s="12">
        <f>'Model inputs'!L10*'Model inputs'!B20</f>
        <v>9000</v>
      </c>
      <c r="M8" s="12">
        <f>'Model inputs'!M10*'Model inputs'!B20</f>
        <v>10000</v>
      </c>
      <c r="N8" s="12">
        <f>'Model inputs'!N10*'Model inputs'!B20</f>
        <v>11000</v>
      </c>
      <c r="O8" s="12">
        <f>'Model inputs'!O10*'Model inputs'!B20</f>
        <v>12000</v>
      </c>
      <c r="P8" s="12">
        <f>'Model inputs'!P10*'Model inputs'!B20</f>
        <v>12000</v>
      </c>
      <c r="Q8" s="12">
        <f>'Model inputs'!Q10*'Model inputs'!B20</f>
        <v>12000</v>
      </c>
      <c r="R8" s="12">
        <f>'Model inputs'!R10*'Model inputs'!B20</f>
        <v>12000</v>
      </c>
      <c r="S8" s="12">
        <f>'Model inputs'!S10*'Model inputs'!B20</f>
        <v>12000</v>
      </c>
      <c r="T8" s="12">
        <f>'Model inputs'!T10*'Model inputs'!B20</f>
        <v>12000</v>
      </c>
      <c r="U8" s="12">
        <f>'Model inputs'!U10*'Model inputs'!B20</f>
        <v>12000</v>
      </c>
      <c r="V8" s="12">
        <f>'Model inputs'!V10*'Model inputs'!B20</f>
        <v>12000</v>
      </c>
      <c r="W8" s="12">
        <f>'Model inputs'!W10*'Model inputs'!B20</f>
        <v>12000</v>
      </c>
      <c r="X8" s="12">
        <f>'Model inputs'!X10*'Model inputs'!B20</f>
        <v>12000</v>
      </c>
      <c r="Y8" s="12">
        <f>'Model inputs'!Y10*'Model inputs'!B20</f>
        <v>12000</v>
      </c>
      <c r="Z8" s="12">
        <f>'Model inputs'!Z10*'Model inputs'!B20</f>
        <v>12000</v>
      </c>
      <c r="AA8" s="12">
        <f>'Model inputs'!AA10*'Model inputs'!B20</f>
        <v>12000</v>
      </c>
      <c r="AB8" s="12">
        <f>'Model inputs'!AB10*'Model inputs'!B20</f>
        <v>12000</v>
      </c>
      <c r="AC8" s="12">
        <f>'Model inputs'!AC10*'Model inputs'!B20</f>
        <v>12000</v>
      </c>
      <c r="AD8" s="12">
        <f>'Model inputs'!AD10*'Model inputs'!B20</f>
        <v>12000</v>
      </c>
      <c r="AE8" s="12">
        <f>'Model inputs'!AE10*'Model inputs'!B20</f>
        <v>12000</v>
      </c>
      <c r="AF8" s="12">
        <f>'Model inputs'!AF10*'Model inputs'!B20</f>
        <v>12000</v>
      </c>
      <c r="AG8" s="12">
        <f>'Model inputs'!AG10*'Model inputs'!B20</f>
        <v>12000</v>
      </c>
      <c r="AH8" s="12">
        <f>'Model inputs'!AH10*'Model inputs'!B20</f>
        <v>12000</v>
      </c>
      <c r="AI8" s="12">
        <f>'Model inputs'!AI10*'Model inputs'!B20</f>
        <v>12000</v>
      </c>
      <c r="AJ8" s="12">
        <f>'Model inputs'!AJ10*'Model inputs'!B20</f>
        <v>12000</v>
      </c>
      <c r="AK8" s="12">
        <f>'Model inputs'!AK10*'Model inputs'!B20</f>
        <v>12000</v>
      </c>
      <c r="AL8" s="12">
        <f>'Model inputs'!AL10*'Model inputs'!B20</f>
        <v>12000</v>
      </c>
      <c r="AM8" s="12">
        <f>'Model inputs'!AM10*'Model inputs'!B20</f>
        <v>12000</v>
      </c>
    </row>
    <row r="9">
      <c r="A9" t="inlineStr" s="11">
        <is>
          <t xml:space="preserve">Compute cost per completed fix</t>
        </is>
      </c>
      <c r="B9" s="13">
        <f>0.03</f>
        <v>0.03</v>
      </c>
    </row>
    <row r="10">
      <c r="A10" t="inlineStr" s="11">
        <is>
          <t xml:space="preserve">Ending customers</t>
        </is>
      </c>
      <c r="C10" s="12">
        <v>0</v>
      </c>
      <c r="D10" s="12">
        <f>'Model inputs'!D22+'Model inputs'!D21-'Model inputs'!D19</f>
        <v>10</v>
      </c>
      <c r="E10" s="12">
        <f>'Model inputs'!E22+'Model inputs'!E21-'Model inputs'!E19</f>
        <v>20</v>
      </c>
      <c r="F10" s="12">
        <f>'Model inputs'!F22+'Model inputs'!F21-'Model inputs'!F19</f>
        <v>30</v>
      </c>
      <c r="G10" s="12">
        <f>'Model inputs'!G22+'Model inputs'!G21-'Model inputs'!G19</f>
        <v>40</v>
      </c>
      <c r="H10" s="12">
        <f>'Model inputs'!H22+'Model inputs'!H21-'Model inputs'!H19</f>
        <v>50</v>
      </c>
      <c r="I10" s="12">
        <f>'Model inputs'!I22+'Model inputs'!I21-'Model inputs'!I19</f>
        <v>60</v>
      </c>
      <c r="J10" s="12">
        <f>'Model inputs'!J22+'Model inputs'!J21-'Model inputs'!J19</f>
        <v>70</v>
      </c>
      <c r="K10" s="12">
        <f>'Model inputs'!K22+'Model inputs'!K21-'Model inputs'!K19</f>
        <v>80</v>
      </c>
      <c r="L10" s="12">
        <f>'Model inputs'!L22+'Model inputs'!L21-'Model inputs'!L19</f>
        <v>90</v>
      </c>
      <c r="M10" s="12">
        <f>'Model inputs'!M22+'Model inputs'!M21-'Model inputs'!M19</f>
        <v>100</v>
      </c>
      <c r="N10" s="12">
        <f>'Model inputs'!N22+'Model inputs'!N21-'Model inputs'!N19</f>
        <v>110</v>
      </c>
      <c r="O10" s="12">
        <f>'Model inputs'!O22+'Model inputs'!O21-'Model inputs'!O19</f>
        <v>120</v>
      </c>
      <c r="P10" s="12">
        <f>'Model inputs'!P22+'Model inputs'!P21-'Model inputs'!P19</f>
        <v>120</v>
      </c>
      <c r="Q10" s="12">
        <f>'Model inputs'!Q22+'Model inputs'!Q21-'Model inputs'!Q19</f>
        <v>120</v>
      </c>
      <c r="R10" s="12">
        <f>'Model inputs'!R22+'Model inputs'!R21-'Model inputs'!R19</f>
        <v>120</v>
      </c>
      <c r="S10" s="12">
        <f>'Model inputs'!S22+'Model inputs'!S21-'Model inputs'!S19</f>
        <v>120</v>
      </c>
      <c r="T10" s="12">
        <f>'Model inputs'!T22+'Model inputs'!T21-'Model inputs'!T19</f>
        <v>120</v>
      </c>
      <c r="U10" s="12">
        <f>'Model inputs'!U22+'Model inputs'!U21-'Model inputs'!U19</f>
        <v>120</v>
      </c>
      <c r="V10" s="12">
        <f>'Model inputs'!V22+'Model inputs'!V21-'Model inputs'!V19</f>
        <v>120</v>
      </c>
      <c r="W10" s="12">
        <f>'Model inputs'!W22+'Model inputs'!W21-'Model inputs'!W19</f>
        <v>120</v>
      </c>
      <c r="X10" s="12">
        <f>'Model inputs'!X22+'Model inputs'!X21-'Model inputs'!X19</f>
        <v>120</v>
      </c>
      <c r="Y10" s="12">
        <f>'Model inputs'!Y22+'Model inputs'!Y21-'Model inputs'!Y19</f>
        <v>120</v>
      </c>
      <c r="Z10" s="12">
        <f>'Model inputs'!Z22+'Model inputs'!Z21-'Model inputs'!Z19</f>
        <v>120</v>
      </c>
      <c r="AA10" s="12">
        <f>'Model inputs'!AA22+'Model inputs'!AA21-'Model inputs'!AA19</f>
        <v>120</v>
      </c>
      <c r="AB10" s="12">
        <f>'Model inputs'!AB22+'Model inputs'!AB21-'Model inputs'!AB19</f>
        <v>120</v>
      </c>
      <c r="AC10" s="12">
        <f>'Model inputs'!AC22+'Model inputs'!AC21-'Model inputs'!AC19</f>
        <v>120</v>
      </c>
      <c r="AD10" s="12">
        <f>'Model inputs'!AD22+'Model inputs'!AD21-'Model inputs'!AD19</f>
        <v>120</v>
      </c>
      <c r="AE10" s="12">
        <f>'Model inputs'!AE22+'Model inputs'!AE21-'Model inputs'!AE19</f>
        <v>120</v>
      </c>
      <c r="AF10" s="12">
        <f>'Model inputs'!AF22+'Model inputs'!AF21-'Model inputs'!AF19</f>
        <v>120</v>
      </c>
      <c r="AG10" s="12">
        <f>'Model inputs'!AG22+'Model inputs'!AG21-'Model inputs'!AG19</f>
        <v>120</v>
      </c>
      <c r="AH10" s="12">
        <f>'Model inputs'!AH22+'Model inputs'!AH21-'Model inputs'!AH19</f>
        <v>120</v>
      </c>
      <c r="AI10" s="12">
        <f>'Model inputs'!AI22+'Model inputs'!AI21-'Model inputs'!AI19</f>
        <v>120</v>
      </c>
      <c r="AJ10" s="12">
        <f>'Model inputs'!AJ22+'Model inputs'!AJ21-'Model inputs'!AJ19</f>
        <v>120</v>
      </c>
      <c r="AK10" s="12">
        <f>'Model inputs'!AK22+'Model inputs'!AK21-'Model inputs'!AK19</f>
        <v>120</v>
      </c>
      <c r="AL10" s="12">
        <f>'Model inputs'!AL22+'Model inputs'!AL21-'Model inputs'!AL19</f>
        <v>120</v>
      </c>
      <c r="AM10" s="12">
        <f>'Model inputs'!AM22+'Model inputs'!AM21-'Model inputs'!AM19</f>
        <v>120</v>
      </c>
    </row>
    <row r="11">
      <c r="A11" t="inlineStr" s="11">
        <is>
          <t xml:space="preserve">Fixed monthly operating spend</t>
        </is>
      </c>
      <c r="B11" s="9">
        <f>50000</f>
        <v>50000</v>
      </c>
    </row>
    <row r="12">
      <c r="A12" t="inlineStr" s="11">
        <is>
          <t xml:space="preserve">Launch cash</t>
        </is>
      </c>
      <c r="B12" s="9">
        <f>900000</f>
        <v>900000</v>
      </c>
    </row>
    <row r="13">
      <c r="A13" t="inlineStr" s="11">
        <is>
          <t xml:space="preserve">Remediation compute COGS</t>
        </is>
      </c>
      <c r="C13" s="9">
        <v>0</v>
      </c>
      <c r="D13" s="9">
        <f>'Model inputs'!D8*('Model inputs'!B18*'Model inputs'!B6+'Model inputs'!B9)</f>
        <v>42.49999999999999</v>
      </c>
      <c r="E13" s="9">
        <f>'Model inputs'!E8*('Model inputs'!B18*'Model inputs'!B6+'Model inputs'!B9)</f>
        <v>84.99999999999999</v>
      </c>
      <c r="F13" s="9">
        <f>'Model inputs'!F8*('Model inputs'!B18*'Model inputs'!B6+'Model inputs'!B9)</f>
        <v>127.49999999999999</v>
      </c>
      <c r="G13" s="9">
        <f>'Model inputs'!G8*('Model inputs'!B18*'Model inputs'!B6+'Model inputs'!B9)</f>
        <v>169.99999999999997</v>
      </c>
      <c r="H13" s="9">
        <f>'Model inputs'!H8*('Model inputs'!B18*'Model inputs'!B6+'Model inputs'!B9)</f>
        <v>212.49999999999997</v>
      </c>
      <c r="I13" s="9">
        <f>'Model inputs'!I8*('Model inputs'!B18*'Model inputs'!B6+'Model inputs'!B9)</f>
        <v>254.99999999999997</v>
      </c>
      <c r="J13" s="9">
        <f>'Model inputs'!J8*('Model inputs'!B18*'Model inputs'!B6+'Model inputs'!B9)</f>
        <v>297.5</v>
      </c>
      <c r="K13" s="9">
        <f>'Model inputs'!K8*('Model inputs'!B18*'Model inputs'!B6+'Model inputs'!B9)</f>
        <v>339.99999999999994</v>
      </c>
      <c r="L13" s="9">
        <f>'Model inputs'!L8*('Model inputs'!B18*'Model inputs'!B6+'Model inputs'!B9)</f>
        <v>382.49999999999994</v>
      </c>
      <c r="M13" s="9">
        <f>'Model inputs'!M8*('Model inputs'!B18*'Model inputs'!B6+'Model inputs'!B9)</f>
        <v>424.99999999999994</v>
      </c>
      <c r="N13" s="9">
        <f>'Model inputs'!N8*('Model inputs'!B18*'Model inputs'!B6+'Model inputs'!B9)</f>
        <v>467.49999999999994</v>
      </c>
      <c r="O13" s="9">
        <f>'Model inputs'!O8*('Model inputs'!B18*'Model inputs'!B6+'Model inputs'!B9)</f>
        <v>509.99999999999994</v>
      </c>
      <c r="P13" s="9">
        <f>'Model inputs'!P8*('Model inputs'!B18*'Model inputs'!B6+'Model inputs'!B9)</f>
        <v>509.99999999999994</v>
      </c>
      <c r="Q13" s="9">
        <f>'Model inputs'!Q8*('Model inputs'!B18*'Model inputs'!B6+'Model inputs'!B9)</f>
        <v>509.99999999999994</v>
      </c>
      <c r="R13" s="9">
        <f>'Model inputs'!R8*('Model inputs'!B18*'Model inputs'!B6+'Model inputs'!B9)</f>
        <v>509.99999999999994</v>
      </c>
      <c r="S13" s="9">
        <f>'Model inputs'!S8*('Model inputs'!B18*'Model inputs'!B6+'Model inputs'!B9)</f>
        <v>509.99999999999994</v>
      </c>
      <c r="T13" s="9">
        <f>'Model inputs'!T8*('Model inputs'!B18*'Model inputs'!B6+'Model inputs'!B9)</f>
        <v>509.99999999999994</v>
      </c>
      <c r="U13" s="9">
        <f>'Model inputs'!U8*('Model inputs'!B18*'Model inputs'!B6+'Model inputs'!B9)</f>
        <v>509.99999999999994</v>
      </c>
      <c r="V13" s="9">
        <f>'Model inputs'!V8*('Model inputs'!B18*'Model inputs'!B6+'Model inputs'!B9)</f>
        <v>509.99999999999994</v>
      </c>
      <c r="W13" s="9">
        <f>'Model inputs'!W8*('Model inputs'!B18*'Model inputs'!B6+'Model inputs'!B9)</f>
        <v>509.99999999999994</v>
      </c>
      <c r="X13" s="9">
        <f>'Model inputs'!X8*('Model inputs'!B18*'Model inputs'!B6+'Model inputs'!B9)</f>
        <v>509.99999999999994</v>
      </c>
      <c r="Y13" s="9">
        <f>'Model inputs'!Y8*('Model inputs'!B18*'Model inputs'!B6+'Model inputs'!B9)</f>
        <v>509.99999999999994</v>
      </c>
      <c r="Z13" s="9">
        <f>'Model inputs'!Z8*('Model inputs'!B18*'Model inputs'!B6+'Model inputs'!B9)</f>
        <v>509.99999999999994</v>
      </c>
      <c r="AA13" s="9">
        <f>'Model inputs'!AA8*('Model inputs'!B18*'Model inputs'!B6+'Model inputs'!B9)</f>
        <v>509.99999999999994</v>
      </c>
      <c r="AB13" s="9">
        <f>'Model inputs'!AB8*('Model inputs'!B18*'Model inputs'!B6+'Model inputs'!B9)</f>
        <v>509.99999999999994</v>
      </c>
      <c r="AC13" s="9">
        <f>'Model inputs'!AC8*('Model inputs'!B18*'Model inputs'!B6+'Model inputs'!B9)</f>
        <v>509.99999999999994</v>
      </c>
      <c r="AD13" s="9">
        <f>'Model inputs'!AD8*('Model inputs'!B18*'Model inputs'!B6+'Model inputs'!B9)</f>
        <v>509.99999999999994</v>
      </c>
      <c r="AE13" s="9">
        <f>'Model inputs'!AE8*('Model inputs'!B18*'Model inputs'!B6+'Model inputs'!B9)</f>
        <v>509.99999999999994</v>
      </c>
      <c r="AF13" s="9">
        <f>'Model inputs'!AF8*('Model inputs'!B18*'Model inputs'!B6+'Model inputs'!B9)</f>
        <v>509.99999999999994</v>
      </c>
      <c r="AG13" s="9">
        <f>'Model inputs'!AG8*('Model inputs'!B18*'Model inputs'!B6+'Model inputs'!B9)</f>
        <v>509.99999999999994</v>
      </c>
      <c r="AH13" s="9">
        <f>'Model inputs'!AH8*('Model inputs'!B18*'Model inputs'!B6+'Model inputs'!B9)</f>
        <v>509.99999999999994</v>
      </c>
      <c r="AI13" s="9">
        <f>'Model inputs'!AI8*('Model inputs'!B18*'Model inputs'!B6+'Model inputs'!B9)</f>
        <v>509.99999999999994</v>
      </c>
      <c r="AJ13" s="9">
        <f>'Model inputs'!AJ8*('Model inputs'!B18*'Model inputs'!B6+'Model inputs'!B9)</f>
        <v>509.99999999999994</v>
      </c>
      <c r="AK13" s="9">
        <f>'Model inputs'!AK8*('Model inputs'!B18*'Model inputs'!B6+'Model inputs'!B9)</f>
        <v>509.99999999999994</v>
      </c>
      <c r="AL13" s="9">
        <f>'Model inputs'!AL8*('Model inputs'!B18*'Model inputs'!B6+'Model inputs'!B9)</f>
        <v>509.99999999999994</v>
      </c>
      <c r="AM13" s="9">
        <f>'Model inputs'!AM8*('Model inputs'!B18*'Model inputs'!B6+'Model inputs'!B9)</f>
        <v>509.99999999999994</v>
      </c>
    </row>
    <row r="14">
      <c r="A14" t="inlineStr" s="11">
        <is>
          <t xml:space="preserve">TenantGuard ending cash</t>
        </is>
      </c>
      <c r="C14" s="9">
        <v>0</v>
      </c>
      <c r="D14" s="9">
        <f>IF(IF(DATE(2026,10,1)=DATE(2026,10,1),IF('Model inputs'!B12="","",'Model inputs'!B12),IF('Model inputs'!C14="","",'Model inputs'!C14))="",0,IF(DATE(2026,10,1)=DATE(2026,10,1),IF('Model inputs'!B12="","",'Model inputs'!B12),IF('Model inputs'!C14="","",'Model inputs'!C14)))+'Model inputs'!D16</f>
        <v>856457.5</v>
      </c>
      <c r="E14" s="9">
        <f>IF(IF(DATE(2026,11,1)=DATE(2026,10,1),IF('Model inputs'!B12="","",'Model inputs'!B12),IF('Model inputs'!D14="","",'Model inputs'!D14))="",0,IF(DATE(2026,11,1)=DATE(2026,10,1),IF('Model inputs'!B12="","",'Model inputs'!B12),IF('Model inputs'!D14="","",'Model inputs'!D14)))+'Model inputs'!E16</f>
        <v>819372.5</v>
      </c>
      <c r="F14" s="9">
        <f>IF(IF(DATE(2026,12,1)=DATE(2026,10,1),IF('Model inputs'!B12="","",'Model inputs'!B12),IF('Model inputs'!E14="","",'Model inputs'!E14))="",0,IF(DATE(2026,12,1)=DATE(2026,10,1),IF('Model inputs'!B12="","",'Model inputs'!B12),IF('Model inputs'!E14="","",'Model inputs'!E14)))+'Model inputs'!F16</f>
        <v>788745</v>
      </c>
      <c r="G14" s="9">
        <f>IF(IF(DATE(2027,1,1)=DATE(2026,10,1),IF('Model inputs'!B12="","",'Model inputs'!B12),IF('Model inputs'!F14="","",'Model inputs'!F14))="",0,IF(DATE(2027,1,1)=DATE(2026,10,1),IF('Model inputs'!B12="","",'Model inputs'!B12),IF('Model inputs'!F14="","",'Model inputs'!F14)))+'Model inputs'!G16</f>
        <v>764575</v>
      </c>
      <c r="H14" s="9">
        <f>IF(IF(DATE(2027,2,1)=DATE(2026,10,1),IF('Model inputs'!B12="","",'Model inputs'!B12),IF('Model inputs'!G14="","",'Model inputs'!G14))="",0,IF(DATE(2027,2,1)=DATE(2026,10,1),IF('Model inputs'!B12="","",'Model inputs'!B12),IF('Model inputs'!G14="","",'Model inputs'!G14)))+'Model inputs'!H16</f>
        <v>746862.5</v>
      </c>
      <c r="I14" s="9">
        <f>IF(IF(DATE(2027,3,1)=DATE(2026,10,1),IF('Model inputs'!B12="","",'Model inputs'!B12),IF('Model inputs'!H14="","",'Model inputs'!H14))="",0,IF(DATE(2027,3,1)=DATE(2026,10,1),IF('Model inputs'!B12="","",'Model inputs'!B12),IF('Model inputs'!H14="","",'Model inputs'!H14)))+'Model inputs'!I16</f>
        <v>735607.5</v>
      </c>
      <c r="J14" s="9">
        <f>IF(IF(DATE(2027,4,1)=DATE(2026,10,1),IF('Model inputs'!B12="","",'Model inputs'!B12),IF('Model inputs'!I14="","",'Model inputs'!I14))="",0,IF(DATE(2027,4,1)=DATE(2026,10,1),IF('Model inputs'!B12="","",'Model inputs'!B12),IF('Model inputs'!I14="","",'Model inputs'!I14)))+'Model inputs'!J16</f>
        <v>730810</v>
      </c>
      <c r="K14" s="9">
        <f>IF(IF(DATE(2027,5,1)=DATE(2026,10,1),IF('Model inputs'!B12="","",'Model inputs'!B12),IF('Model inputs'!J14="","",'Model inputs'!J14))="",0,IF(DATE(2027,5,1)=DATE(2026,10,1),IF('Model inputs'!B12="","",'Model inputs'!B12),IF('Model inputs'!J14="","",'Model inputs'!J14)))+'Model inputs'!K16</f>
        <v>732470</v>
      </c>
      <c r="L14" s="9">
        <f>IF(IF(DATE(2027,6,1)=DATE(2026,10,1),IF('Model inputs'!B12="","",'Model inputs'!B12),IF('Model inputs'!K14="","",'Model inputs'!K14))="",0,IF(DATE(2027,6,1)=DATE(2026,10,1),IF('Model inputs'!B12="","",'Model inputs'!B12),IF('Model inputs'!K14="","",'Model inputs'!K14)))+'Model inputs'!L16</f>
        <v>740587.5</v>
      </c>
      <c r="M14" s="9">
        <f>IF(IF(DATE(2027,7,1)=DATE(2026,10,1),IF('Model inputs'!B12="","",'Model inputs'!B12),IF('Model inputs'!L14="","",'Model inputs'!L14))="",0,IF(DATE(2027,7,1)=DATE(2026,10,1),IF('Model inputs'!B12="","",'Model inputs'!B12),IF('Model inputs'!L14="","",'Model inputs'!L14)))+'Model inputs'!M16</f>
        <v>755162.5</v>
      </c>
      <c r="N14" s="9">
        <f>IF(IF(DATE(2027,8,1)=DATE(2026,10,1),IF('Model inputs'!B12="","",'Model inputs'!B12),IF('Model inputs'!M14="","",'Model inputs'!M14))="",0,IF(DATE(2027,8,1)=DATE(2026,10,1),IF('Model inputs'!B12="","",'Model inputs'!B12),IF('Model inputs'!M14="","",'Model inputs'!M14)))+'Model inputs'!N16</f>
        <v>776195</v>
      </c>
      <c r="O14" s="9">
        <f>IF(IF(DATE(2027,9,1)=DATE(2026,10,1),IF('Model inputs'!B12="","",'Model inputs'!B12),IF('Model inputs'!N14="","",'Model inputs'!N14))="",0,IF(DATE(2027,9,1)=DATE(2026,10,1),IF('Model inputs'!B12="","",'Model inputs'!B12),IF('Model inputs'!N14="","",'Model inputs'!N14)))+'Model inputs'!O16</f>
        <v>803685</v>
      </c>
      <c r="P14" s="9">
        <f>IF(IF(DATE(2027,10,1)=DATE(2026,10,1),IF('Model inputs'!B12="","",'Model inputs'!B12),IF('Model inputs'!O14="","",'Model inputs'!O14))="",0,IF(DATE(2027,10,1)=DATE(2026,10,1),IF('Model inputs'!B12="","",'Model inputs'!B12),IF('Model inputs'!O14="","",'Model inputs'!O14)))+'Model inputs'!P16</f>
        <v>831175</v>
      </c>
      <c r="Q14" s="9">
        <f>IF(IF(DATE(2027,11,1)=DATE(2026,10,1),IF('Model inputs'!B12="","",'Model inputs'!B12),IF('Model inputs'!P14="","",'Model inputs'!P14))="",0,IF(DATE(2027,11,1)=DATE(2026,10,1),IF('Model inputs'!B12="","",'Model inputs'!B12),IF('Model inputs'!P14="","",'Model inputs'!P14)))+'Model inputs'!Q16</f>
        <v>858665</v>
      </c>
      <c r="R14" s="9">
        <f>IF(IF(DATE(2027,12,1)=DATE(2026,10,1),IF('Model inputs'!B12="","",'Model inputs'!B12),IF('Model inputs'!Q14="","",'Model inputs'!Q14))="",0,IF(DATE(2027,12,1)=DATE(2026,10,1),IF('Model inputs'!B12="","",'Model inputs'!B12),IF('Model inputs'!Q14="","",'Model inputs'!Q14)))+'Model inputs'!R16</f>
        <v>886155</v>
      </c>
      <c r="S14" s="9">
        <f>IF(IF(DATE(2028,1,1)=DATE(2026,10,1),IF('Model inputs'!B12="","",'Model inputs'!B12),IF('Model inputs'!R14="","",'Model inputs'!R14))="",0,IF(DATE(2028,1,1)=DATE(2026,10,1),IF('Model inputs'!B12="","",'Model inputs'!B12),IF('Model inputs'!R14="","",'Model inputs'!R14)))+'Model inputs'!S16</f>
        <v>913645</v>
      </c>
      <c r="T14" s="9">
        <f>IF(IF(DATE(2028,2,1)=DATE(2026,10,1),IF('Model inputs'!B12="","",'Model inputs'!B12),IF('Model inputs'!S14="","",'Model inputs'!S14))="",0,IF(DATE(2028,2,1)=DATE(2026,10,1),IF('Model inputs'!B12="","",'Model inputs'!B12),IF('Model inputs'!S14="","",'Model inputs'!S14)))+'Model inputs'!T16</f>
        <v>941135</v>
      </c>
      <c r="U14" s="9">
        <f>IF(IF(DATE(2028,3,1)=DATE(2026,10,1),IF('Model inputs'!B12="","",'Model inputs'!B12),IF('Model inputs'!T14="","",'Model inputs'!T14))="",0,IF(DATE(2028,3,1)=DATE(2026,10,1),IF('Model inputs'!B12="","",'Model inputs'!B12),IF('Model inputs'!T14="","",'Model inputs'!T14)))+'Model inputs'!U16</f>
        <v>968625</v>
      </c>
      <c r="V14" s="9">
        <f>IF(IF(DATE(2028,4,1)=DATE(2026,10,1),IF('Model inputs'!B12="","",'Model inputs'!B12),IF('Model inputs'!U14="","",'Model inputs'!U14))="",0,IF(DATE(2028,4,1)=DATE(2026,10,1),IF('Model inputs'!B12="","",'Model inputs'!B12),IF('Model inputs'!U14="","",'Model inputs'!U14)))+'Model inputs'!V16</f>
        <v>996115</v>
      </c>
      <c r="W14" s="9">
        <f>IF(IF(DATE(2028,5,1)=DATE(2026,10,1),IF('Model inputs'!B12="","",'Model inputs'!B12),IF('Model inputs'!V14="","",'Model inputs'!V14))="",0,IF(DATE(2028,5,1)=DATE(2026,10,1),IF('Model inputs'!B12="","",'Model inputs'!B12),IF('Model inputs'!V14="","",'Model inputs'!V14)))+'Model inputs'!W16</f>
        <v>1023605</v>
      </c>
      <c r="X14" s="9">
        <f>IF(IF(DATE(2028,6,1)=DATE(2026,10,1),IF('Model inputs'!B12="","",'Model inputs'!B12),IF('Model inputs'!W14="","",'Model inputs'!W14))="",0,IF(DATE(2028,6,1)=DATE(2026,10,1),IF('Model inputs'!B12="","",'Model inputs'!B12),IF('Model inputs'!W14="","",'Model inputs'!W14)))+'Model inputs'!X16</f>
        <v>1051095</v>
      </c>
      <c r="Y14" s="9">
        <f>IF(IF(DATE(2028,7,1)=DATE(2026,10,1),IF('Model inputs'!B12="","",'Model inputs'!B12),IF('Model inputs'!X14="","",'Model inputs'!X14))="",0,IF(DATE(2028,7,1)=DATE(2026,10,1),IF('Model inputs'!B12="","",'Model inputs'!B12),IF('Model inputs'!X14="","",'Model inputs'!X14)))+'Model inputs'!Y16</f>
        <v>1078585</v>
      </c>
      <c r="Z14" s="9">
        <f>IF(IF(DATE(2028,8,1)=DATE(2026,10,1),IF('Model inputs'!B12="","",'Model inputs'!B12),IF('Model inputs'!Y14="","",'Model inputs'!Y14))="",0,IF(DATE(2028,8,1)=DATE(2026,10,1),IF('Model inputs'!B12="","",'Model inputs'!B12),IF('Model inputs'!Y14="","",'Model inputs'!Y14)))+'Model inputs'!Z16</f>
        <v>1106075</v>
      </c>
      <c r="AA14" s="9">
        <f>IF(IF(DATE(2028,9,1)=DATE(2026,10,1),IF('Model inputs'!B12="","",'Model inputs'!B12),IF('Model inputs'!Z14="","",'Model inputs'!Z14))="",0,IF(DATE(2028,9,1)=DATE(2026,10,1),IF('Model inputs'!B12="","",'Model inputs'!B12),IF('Model inputs'!Z14="","",'Model inputs'!Z14)))+'Model inputs'!AA16</f>
        <v>1133565</v>
      </c>
      <c r="AB14" s="9">
        <f>IF(IF(DATE(2028,10,1)=DATE(2026,10,1),IF('Model inputs'!B12="","",'Model inputs'!B12),IF('Model inputs'!AA14="","",'Model inputs'!AA14))="",0,IF(DATE(2028,10,1)=DATE(2026,10,1),IF('Model inputs'!B12="","",'Model inputs'!B12),IF('Model inputs'!AA14="","",'Model inputs'!AA14)))+'Model inputs'!AB16</f>
        <v>1161055</v>
      </c>
      <c r="AC14" s="9">
        <f>IF(IF(DATE(2028,11,1)=DATE(2026,10,1),IF('Model inputs'!B12="","",'Model inputs'!B12),IF('Model inputs'!AB14="","",'Model inputs'!AB14))="",0,IF(DATE(2028,11,1)=DATE(2026,10,1),IF('Model inputs'!B12="","",'Model inputs'!B12),IF('Model inputs'!AB14="","",'Model inputs'!AB14)))+'Model inputs'!AC16</f>
        <v>1188545</v>
      </c>
      <c r="AD14" s="9">
        <f>IF(IF(DATE(2028,12,1)=DATE(2026,10,1),IF('Model inputs'!B12="","",'Model inputs'!B12),IF('Model inputs'!AC14="","",'Model inputs'!AC14))="",0,IF(DATE(2028,12,1)=DATE(2026,10,1),IF('Model inputs'!B12="","",'Model inputs'!B12),IF('Model inputs'!AC14="","",'Model inputs'!AC14)))+'Model inputs'!AD16</f>
        <v>1216035</v>
      </c>
      <c r="AE14" s="9">
        <f>IF(IF(DATE(2029,1,1)=DATE(2026,10,1),IF('Model inputs'!B12="","",'Model inputs'!B12),IF('Model inputs'!AD14="","",'Model inputs'!AD14))="",0,IF(DATE(2029,1,1)=DATE(2026,10,1),IF('Model inputs'!B12="","",'Model inputs'!B12),IF('Model inputs'!AD14="","",'Model inputs'!AD14)))+'Model inputs'!AE16</f>
        <v>1243525</v>
      </c>
      <c r="AF14" s="9">
        <f>IF(IF(DATE(2029,2,1)=DATE(2026,10,1),IF('Model inputs'!B12="","",'Model inputs'!B12),IF('Model inputs'!AE14="","",'Model inputs'!AE14))="",0,IF(DATE(2029,2,1)=DATE(2026,10,1),IF('Model inputs'!B12="","",'Model inputs'!B12),IF('Model inputs'!AE14="","",'Model inputs'!AE14)))+'Model inputs'!AF16</f>
        <v>1271015</v>
      </c>
      <c r="AG14" s="9">
        <f>IF(IF(DATE(2029,3,1)=DATE(2026,10,1),IF('Model inputs'!B12="","",'Model inputs'!B12),IF('Model inputs'!AF14="","",'Model inputs'!AF14))="",0,IF(DATE(2029,3,1)=DATE(2026,10,1),IF('Model inputs'!B12="","",'Model inputs'!B12),IF('Model inputs'!AF14="","",'Model inputs'!AF14)))+'Model inputs'!AG16</f>
        <v>1298505</v>
      </c>
      <c r="AH14" s="9">
        <f>IF(IF(DATE(2029,4,1)=DATE(2026,10,1),IF('Model inputs'!B12="","",'Model inputs'!B12),IF('Model inputs'!AG14="","",'Model inputs'!AG14))="",0,IF(DATE(2029,4,1)=DATE(2026,10,1),IF('Model inputs'!B12="","",'Model inputs'!B12),IF('Model inputs'!AG14="","",'Model inputs'!AG14)))+'Model inputs'!AH16</f>
        <v>1325995</v>
      </c>
      <c r="AI14" s="9">
        <f>IF(IF(DATE(2029,5,1)=DATE(2026,10,1),IF('Model inputs'!B12="","",'Model inputs'!B12),IF('Model inputs'!AH14="","",'Model inputs'!AH14))="",0,IF(DATE(2029,5,1)=DATE(2026,10,1),IF('Model inputs'!B12="","",'Model inputs'!B12),IF('Model inputs'!AH14="","",'Model inputs'!AH14)))+'Model inputs'!AI16</f>
        <v>1353485</v>
      </c>
      <c r="AJ14" s="9">
        <f>IF(IF(DATE(2029,6,1)=DATE(2026,10,1),IF('Model inputs'!B12="","",'Model inputs'!B12),IF('Model inputs'!AI14="","",'Model inputs'!AI14))="",0,IF(DATE(2029,6,1)=DATE(2026,10,1),IF('Model inputs'!B12="","",'Model inputs'!B12),IF('Model inputs'!AI14="","",'Model inputs'!AI14)))+'Model inputs'!AJ16</f>
        <v>1380975</v>
      </c>
      <c r="AK14" s="9">
        <f>IF(IF(DATE(2029,7,1)=DATE(2026,10,1),IF('Model inputs'!B12="","",'Model inputs'!B12),IF('Model inputs'!AJ14="","",'Model inputs'!AJ14))="",0,IF(DATE(2029,7,1)=DATE(2026,10,1),IF('Model inputs'!B12="","",'Model inputs'!B12),IF('Model inputs'!AJ14="","",'Model inputs'!AJ14)))+'Model inputs'!AK16</f>
        <v>1408465</v>
      </c>
      <c r="AL14" s="9">
        <f>IF(IF(DATE(2029,8,1)=DATE(2026,10,1),IF('Model inputs'!B12="","",'Model inputs'!B12),IF('Model inputs'!AK14="","",'Model inputs'!AK14))="",0,IF(DATE(2029,8,1)=DATE(2026,10,1),IF('Model inputs'!B12="","",'Model inputs'!B12),IF('Model inputs'!AK14="","",'Model inputs'!AK14)))+'Model inputs'!AL16</f>
        <v>1435955</v>
      </c>
      <c r="AM14" s="9">
        <f>IF(IF(DATE(2029,9,1)=DATE(2026,10,1),IF('Model inputs'!B12="","",'Model inputs'!B12),IF('Model inputs'!AL14="","",'Model inputs'!AL14))="",0,IF(DATE(2029,9,1)=DATE(2026,10,1),IF('Model inputs'!B12="","",'Model inputs'!B12),IF('Model inputs'!AL14="","",'Model inputs'!AL14)))+'Model inputs'!AM16</f>
        <v>1463445</v>
      </c>
    </row>
    <row r="15">
      <c r="A15" t="inlineStr" s="11">
        <is>
          <t xml:space="preserve">TenantGuard fixed operating spend</t>
        </is>
      </c>
      <c r="C15" s="9">
        <v>0</v>
      </c>
      <c r="D15" s="9">
        <f>IF('Model inputs'!B11="","",'Model inputs'!B11)</f>
        <v>50000</v>
      </c>
      <c r="E15" s="9">
        <f>IF('Model inputs'!B11="","",'Model inputs'!B11)</f>
        <v>50000</v>
      </c>
      <c r="F15" s="9">
        <f>IF('Model inputs'!B11="","",'Model inputs'!B11)</f>
        <v>50000</v>
      </c>
      <c r="G15" s="9">
        <f>IF('Model inputs'!B11="","",'Model inputs'!B11)</f>
        <v>50000</v>
      </c>
      <c r="H15" s="9">
        <f>IF('Model inputs'!B11="","",'Model inputs'!B11)</f>
        <v>50000</v>
      </c>
      <c r="I15" s="9">
        <f>IF('Model inputs'!B11="","",'Model inputs'!B11)</f>
        <v>50000</v>
      </c>
      <c r="J15" s="9">
        <f>IF('Model inputs'!B11="","",'Model inputs'!B11)</f>
        <v>50000</v>
      </c>
      <c r="K15" s="9">
        <f>IF('Model inputs'!B11="","",'Model inputs'!B11)</f>
        <v>50000</v>
      </c>
      <c r="L15" s="9">
        <f>IF('Model inputs'!B11="","",'Model inputs'!B11)</f>
        <v>50000</v>
      </c>
      <c r="M15" s="9">
        <f>IF('Model inputs'!B11="","",'Model inputs'!B11)</f>
        <v>50000</v>
      </c>
      <c r="N15" s="9">
        <f>IF('Model inputs'!B11="","",'Model inputs'!B11)</f>
        <v>50000</v>
      </c>
      <c r="O15" s="9">
        <f>IF('Model inputs'!B11="","",'Model inputs'!B11)</f>
        <v>50000</v>
      </c>
      <c r="P15" s="9">
        <f>IF('Model inputs'!B11="","",'Model inputs'!B11)</f>
        <v>50000</v>
      </c>
      <c r="Q15" s="9">
        <f>IF('Model inputs'!B11="","",'Model inputs'!B11)</f>
        <v>50000</v>
      </c>
      <c r="R15" s="9">
        <f>IF('Model inputs'!B11="","",'Model inputs'!B11)</f>
        <v>50000</v>
      </c>
      <c r="S15" s="9">
        <f>IF('Model inputs'!B11="","",'Model inputs'!B11)</f>
        <v>50000</v>
      </c>
      <c r="T15" s="9">
        <f>IF('Model inputs'!B11="","",'Model inputs'!B11)</f>
        <v>50000</v>
      </c>
      <c r="U15" s="9">
        <f>IF('Model inputs'!B11="","",'Model inputs'!B11)</f>
        <v>50000</v>
      </c>
      <c r="V15" s="9">
        <f>IF('Model inputs'!B11="","",'Model inputs'!B11)</f>
        <v>50000</v>
      </c>
      <c r="W15" s="9">
        <f>IF('Model inputs'!B11="","",'Model inputs'!B11)</f>
        <v>50000</v>
      </c>
      <c r="X15" s="9">
        <f>IF('Model inputs'!B11="","",'Model inputs'!B11)</f>
        <v>50000</v>
      </c>
      <c r="Y15" s="9">
        <f>IF('Model inputs'!B11="","",'Model inputs'!B11)</f>
        <v>50000</v>
      </c>
      <c r="Z15" s="9">
        <f>IF('Model inputs'!B11="","",'Model inputs'!B11)</f>
        <v>50000</v>
      </c>
      <c r="AA15" s="9">
        <f>IF('Model inputs'!B11="","",'Model inputs'!B11)</f>
        <v>50000</v>
      </c>
      <c r="AB15" s="9">
        <f>IF('Model inputs'!B11="","",'Model inputs'!B11)</f>
        <v>50000</v>
      </c>
      <c r="AC15" s="9">
        <f>IF('Model inputs'!B11="","",'Model inputs'!B11)</f>
        <v>50000</v>
      </c>
      <c r="AD15" s="9">
        <f>IF('Model inputs'!B11="","",'Model inputs'!B11)</f>
        <v>50000</v>
      </c>
      <c r="AE15" s="9">
        <f>IF('Model inputs'!B11="","",'Model inputs'!B11)</f>
        <v>50000</v>
      </c>
      <c r="AF15" s="9">
        <f>IF('Model inputs'!B11="","",'Model inputs'!B11)</f>
        <v>50000</v>
      </c>
      <c r="AG15" s="9">
        <f>IF('Model inputs'!B11="","",'Model inputs'!B11)</f>
        <v>50000</v>
      </c>
      <c r="AH15" s="9">
        <f>IF('Model inputs'!B11="","",'Model inputs'!B11)</f>
        <v>50000</v>
      </c>
      <c r="AI15" s="9">
        <f>IF('Model inputs'!B11="","",'Model inputs'!B11)</f>
        <v>50000</v>
      </c>
      <c r="AJ15" s="9">
        <f>IF('Model inputs'!B11="","",'Model inputs'!B11)</f>
        <v>50000</v>
      </c>
      <c r="AK15" s="9">
        <f>IF('Model inputs'!B11="","",'Model inputs'!B11)</f>
        <v>50000</v>
      </c>
      <c r="AL15" s="9">
        <f>IF('Model inputs'!B11="","",'Model inputs'!B11)</f>
        <v>50000</v>
      </c>
      <c r="AM15" s="9">
        <f>IF('Model inputs'!B11="","",'Model inputs'!B11)</f>
        <v>50000</v>
      </c>
    </row>
    <row r="16">
      <c r="A16" t="inlineStr" s="11">
        <is>
          <t xml:space="preserve">TenantGuard net cash flow</t>
        </is>
      </c>
      <c r="C16" s="9">
        <v>0</v>
      </c>
      <c r="D16" s="9">
        <f>'Model inputs'!D17-'Model inputs'!D13-'Model inputs'!D15</f>
        <v>-43542.5</v>
      </c>
      <c r="E16" s="9">
        <f>'Model inputs'!E17-'Model inputs'!E13-'Model inputs'!E15</f>
        <v>-37085</v>
      </c>
      <c r="F16" s="9">
        <f>'Model inputs'!F17-'Model inputs'!F13-'Model inputs'!F15</f>
        <v>-30627.5</v>
      </c>
      <c r="G16" s="9">
        <f>'Model inputs'!G17-'Model inputs'!G13-'Model inputs'!G15</f>
        <v>-24170</v>
      </c>
      <c r="H16" s="9">
        <f>'Model inputs'!H17-'Model inputs'!H13-'Model inputs'!H15</f>
        <v>-17712.5</v>
      </c>
      <c r="I16" s="9">
        <f>'Model inputs'!I17-'Model inputs'!I13-'Model inputs'!I15</f>
        <v>-11255</v>
      </c>
      <c r="J16" s="9">
        <f>'Model inputs'!J17-'Model inputs'!J13-'Model inputs'!J15</f>
        <v>-4797.5</v>
      </c>
      <c r="K16" s="9">
        <f>'Model inputs'!K17-'Model inputs'!K13-'Model inputs'!K15</f>
        <v>1660</v>
      </c>
      <c r="L16" s="9">
        <f>'Model inputs'!L17-'Model inputs'!L13-'Model inputs'!L15</f>
        <v>8117.5</v>
      </c>
      <c r="M16" s="9">
        <f>'Model inputs'!M17-'Model inputs'!M13-'Model inputs'!M15</f>
        <v>14575</v>
      </c>
      <c r="N16" s="9">
        <f>'Model inputs'!N17-'Model inputs'!N13-'Model inputs'!N15</f>
        <v>21032.5</v>
      </c>
      <c r="O16" s="9">
        <f>'Model inputs'!O17-'Model inputs'!O13-'Model inputs'!O15</f>
        <v>27490</v>
      </c>
      <c r="P16" s="9">
        <f>'Model inputs'!P17-'Model inputs'!P13-'Model inputs'!P15</f>
        <v>27490</v>
      </c>
      <c r="Q16" s="9">
        <f>'Model inputs'!Q17-'Model inputs'!Q13-'Model inputs'!Q15</f>
        <v>27490</v>
      </c>
      <c r="R16" s="9">
        <f>'Model inputs'!R17-'Model inputs'!R13-'Model inputs'!R15</f>
        <v>27490</v>
      </c>
      <c r="S16" s="9">
        <f>'Model inputs'!S17-'Model inputs'!S13-'Model inputs'!S15</f>
        <v>27490</v>
      </c>
      <c r="T16" s="9">
        <f>'Model inputs'!T17-'Model inputs'!T13-'Model inputs'!T15</f>
        <v>27490</v>
      </c>
      <c r="U16" s="9">
        <f>'Model inputs'!U17-'Model inputs'!U13-'Model inputs'!U15</f>
        <v>27490</v>
      </c>
      <c r="V16" s="9">
        <f>'Model inputs'!V17-'Model inputs'!V13-'Model inputs'!V15</f>
        <v>27490</v>
      </c>
      <c r="W16" s="9">
        <f>'Model inputs'!W17-'Model inputs'!W13-'Model inputs'!W15</f>
        <v>27490</v>
      </c>
      <c r="X16" s="9">
        <f>'Model inputs'!X17-'Model inputs'!X13-'Model inputs'!X15</f>
        <v>27490</v>
      </c>
      <c r="Y16" s="9">
        <f>'Model inputs'!Y17-'Model inputs'!Y13-'Model inputs'!Y15</f>
        <v>27490</v>
      </c>
      <c r="Z16" s="9">
        <f>'Model inputs'!Z17-'Model inputs'!Z13-'Model inputs'!Z15</f>
        <v>27490</v>
      </c>
      <c r="AA16" s="9">
        <f>'Model inputs'!AA17-'Model inputs'!AA13-'Model inputs'!AA15</f>
        <v>27490</v>
      </c>
      <c r="AB16" s="9">
        <f>'Model inputs'!AB17-'Model inputs'!AB13-'Model inputs'!AB15</f>
        <v>27490</v>
      </c>
      <c r="AC16" s="9">
        <f>'Model inputs'!AC17-'Model inputs'!AC13-'Model inputs'!AC15</f>
        <v>27490</v>
      </c>
      <c r="AD16" s="9">
        <f>'Model inputs'!AD17-'Model inputs'!AD13-'Model inputs'!AD15</f>
        <v>27490</v>
      </c>
      <c r="AE16" s="9">
        <f>'Model inputs'!AE17-'Model inputs'!AE13-'Model inputs'!AE15</f>
        <v>27490</v>
      </c>
      <c r="AF16" s="9">
        <f>'Model inputs'!AF17-'Model inputs'!AF13-'Model inputs'!AF15</f>
        <v>27490</v>
      </c>
      <c r="AG16" s="9">
        <f>'Model inputs'!AG17-'Model inputs'!AG13-'Model inputs'!AG15</f>
        <v>27490</v>
      </c>
      <c r="AH16" s="9">
        <f>'Model inputs'!AH17-'Model inputs'!AH13-'Model inputs'!AH15</f>
        <v>27490</v>
      </c>
      <c r="AI16" s="9">
        <f>'Model inputs'!AI17-'Model inputs'!AI13-'Model inputs'!AI15</f>
        <v>27490</v>
      </c>
      <c r="AJ16" s="9">
        <f>'Model inputs'!AJ17-'Model inputs'!AJ13-'Model inputs'!AJ15</f>
        <v>27490</v>
      </c>
      <c r="AK16" s="9">
        <f>'Model inputs'!AK17-'Model inputs'!AK13-'Model inputs'!AK15</f>
        <v>27490</v>
      </c>
      <c r="AL16" s="9">
        <f>'Model inputs'!AL17-'Model inputs'!AL13-'Model inputs'!AL15</f>
        <v>27490</v>
      </c>
      <c r="AM16" s="9">
        <f>'Model inputs'!AM17-'Model inputs'!AM13-'Model inputs'!AM15</f>
        <v>27490</v>
      </c>
    </row>
    <row r="17">
      <c r="A17" t="inlineStr" s="11">
        <is>
          <t xml:space="preserve">TenantGuard revenue</t>
        </is>
      </c>
      <c r="C17" s="9">
        <v>0</v>
      </c>
      <c r="D17" s="9">
        <f>'Model inputs'!D10*'Model inputs'!B7</f>
        <v>6500</v>
      </c>
      <c r="E17" s="9">
        <f>'Model inputs'!E10*'Model inputs'!B7</f>
        <v>13000</v>
      </c>
      <c r="F17" s="9">
        <f>'Model inputs'!F10*'Model inputs'!B7</f>
        <v>19500</v>
      </c>
      <c r="G17" s="9">
        <f>'Model inputs'!G10*'Model inputs'!B7</f>
        <v>26000</v>
      </c>
      <c r="H17" s="9">
        <f>'Model inputs'!H10*'Model inputs'!B7</f>
        <v>32500</v>
      </c>
      <c r="I17" s="9">
        <f>'Model inputs'!I10*'Model inputs'!B7</f>
        <v>39000</v>
      </c>
      <c r="J17" s="9">
        <f>'Model inputs'!J10*'Model inputs'!B7</f>
        <v>45500</v>
      </c>
      <c r="K17" s="9">
        <f>'Model inputs'!K10*'Model inputs'!B7</f>
        <v>52000</v>
      </c>
      <c r="L17" s="9">
        <f>'Model inputs'!L10*'Model inputs'!B7</f>
        <v>58500</v>
      </c>
      <c r="M17" s="9">
        <f>'Model inputs'!M10*'Model inputs'!B7</f>
        <v>65000</v>
      </c>
      <c r="N17" s="9">
        <f>'Model inputs'!N10*'Model inputs'!B7</f>
        <v>71500</v>
      </c>
      <c r="O17" s="9">
        <f>'Model inputs'!O10*'Model inputs'!B7</f>
        <v>78000</v>
      </c>
      <c r="P17" s="9">
        <f>'Model inputs'!P10*'Model inputs'!B7</f>
        <v>78000</v>
      </c>
      <c r="Q17" s="9">
        <f>'Model inputs'!Q10*'Model inputs'!B7</f>
        <v>78000</v>
      </c>
      <c r="R17" s="9">
        <f>'Model inputs'!R10*'Model inputs'!B7</f>
        <v>78000</v>
      </c>
      <c r="S17" s="9">
        <f>'Model inputs'!S10*'Model inputs'!B7</f>
        <v>78000</v>
      </c>
      <c r="T17" s="9">
        <f>'Model inputs'!T10*'Model inputs'!B7</f>
        <v>78000</v>
      </c>
      <c r="U17" s="9">
        <f>'Model inputs'!U10*'Model inputs'!B7</f>
        <v>78000</v>
      </c>
      <c r="V17" s="9">
        <f>'Model inputs'!V10*'Model inputs'!B7</f>
        <v>78000</v>
      </c>
      <c r="W17" s="9">
        <f>'Model inputs'!W10*'Model inputs'!B7</f>
        <v>78000</v>
      </c>
      <c r="X17" s="9">
        <f>'Model inputs'!X10*'Model inputs'!B7</f>
        <v>78000</v>
      </c>
      <c r="Y17" s="9">
        <f>'Model inputs'!Y10*'Model inputs'!B7</f>
        <v>78000</v>
      </c>
      <c r="Z17" s="9">
        <f>'Model inputs'!Z10*'Model inputs'!B7</f>
        <v>78000</v>
      </c>
      <c r="AA17" s="9">
        <f>'Model inputs'!AA10*'Model inputs'!B7</f>
        <v>78000</v>
      </c>
      <c r="AB17" s="9">
        <f>'Model inputs'!AB10*'Model inputs'!B7</f>
        <v>78000</v>
      </c>
      <c r="AC17" s="9">
        <f>'Model inputs'!AC10*'Model inputs'!B7</f>
        <v>78000</v>
      </c>
      <c r="AD17" s="9">
        <f>'Model inputs'!AD10*'Model inputs'!B7</f>
        <v>78000</v>
      </c>
      <c r="AE17" s="9">
        <f>'Model inputs'!AE10*'Model inputs'!B7</f>
        <v>78000</v>
      </c>
      <c r="AF17" s="9">
        <f>'Model inputs'!AF10*'Model inputs'!B7</f>
        <v>78000</v>
      </c>
      <c r="AG17" s="9">
        <f>'Model inputs'!AG10*'Model inputs'!B7</f>
        <v>78000</v>
      </c>
      <c r="AH17" s="9">
        <f>'Model inputs'!AH10*'Model inputs'!B7</f>
        <v>78000</v>
      </c>
      <c r="AI17" s="9">
        <f>'Model inputs'!AI10*'Model inputs'!B7</f>
        <v>78000</v>
      </c>
      <c r="AJ17" s="9">
        <f>'Model inputs'!AJ10*'Model inputs'!B7</f>
        <v>78000</v>
      </c>
      <c r="AK17" s="9">
        <f>'Model inputs'!AK10*'Model inputs'!B7</f>
        <v>78000</v>
      </c>
      <c r="AL17" s="9">
        <f>'Model inputs'!AL10*'Model inputs'!B7</f>
        <v>78000</v>
      </c>
      <c r="AM17" s="9">
        <f>'Model inputs'!AM10*'Model inputs'!B7</f>
        <v>78000</v>
      </c>
    </row>
    <row r="18">
      <c r="A18" t="inlineStr" s="11">
        <is>
          <t xml:space="preserve">Token cost per attempt</t>
        </is>
      </c>
      <c r="B18" s="14">
        <f>0.005</f>
        <v>0.005</v>
      </c>
    </row>
    <row r="19">
      <c r="A19" t="inlineStr" s="11">
        <is>
          <t xml:space="preserve">Customer losses</t>
        </is>
      </c>
      <c r="C19" s="12">
        <v>0</v>
      </c>
      <c r="D19" s="12">
        <f>'Model inputs'!D22*'Model inputs'!B28</f>
        <v>0</v>
      </c>
      <c r="E19" s="12">
        <f>'Model inputs'!E22*'Model inputs'!B28</f>
        <v>0.1</v>
      </c>
      <c r="F19" s="12">
        <f>'Model inputs'!F22*'Model inputs'!B28</f>
        <v>0.2</v>
      </c>
      <c r="G19" s="12">
        <f>'Model inputs'!G22*'Model inputs'!B28</f>
        <v>0.3</v>
      </c>
      <c r="H19" s="12">
        <f>'Model inputs'!H22*'Model inputs'!B28</f>
        <v>0.4</v>
      </c>
      <c r="I19" s="12">
        <f>'Model inputs'!I22*'Model inputs'!B28</f>
        <v>0.5</v>
      </c>
      <c r="J19" s="12">
        <f>'Model inputs'!J22*'Model inputs'!B28</f>
        <v>0.6</v>
      </c>
      <c r="K19" s="12">
        <f>'Model inputs'!K22*'Model inputs'!B28</f>
        <v>0.7000000000000001</v>
      </c>
      <c r="L19" s="12">
        <f>'Model inputs'!L22*'Model inputs'!B28</f>
        <v>0.8</v>
      </c>
      <c r="M19" s="12">
        <f>'Model inputs'!M22*'Model inputs'!B28</f>
        <v>0.9</v>
      </c>
      <c r="N19" s="12">
        <f>'Model inputs'!N22*'Model inputs'!B28</f>
        <v>1</v>
      </c>
      <c r="O19" s="12">
        <f>'Model inputs'!O22*'Model inputs'!B28</f>
        <v>1.1</v>
      </c>
      <c r="P19" s="12">
        <f>'Model inputs'!P22*'Model inputs'!B28</f>
        <v>1.2</v>
      </c>
      <c r="Q19" s="12">
        <f>'Model inputs'!Q22*'Model inputs'!B28</f>
        <v>1.2</v>
      </c>
      <c r="R19" s="12">
        <f>'Model inputs'!R22*'Model inputs'!B28</f>
        <v>1.2</v>
      </c>
      <c r="S19" s="12">
        <f>'Model inputs'!S22*'Model inputs'!B28</f>
        <v>1.2</v>
      </c>
      <c r="T19" s="12">
        <f>'Model inputs'!T22*'Model inputs'!B28</f>
        <v>1.2</v>
      </c>
      <c r="U19" s="12">
        <f>'Model inputs'!U22*'Model inputs'!B28</f>
        <v>1.2</v>
      </c>
      <c r="V19" s="12">
        <f>'Model inputs'!V22*'Model inputs'!B28</f>
        <v>1.2</v>
      </c>
      <c r="W19" s="12">
        <f>'Model inputs'!W22*'Model inputs'!B28</f>
        <v>1.2</v>
      </c>
      <c r="X19" s="12">
        <f>'Model inputs'!X22*'Model inputs'!B28</f>
        <v>1.2</v>
      </c>
      <c r="Y19" s="12">
        <f>'Model inputs'!Y22*'Model inputs'!B28</f>
        <v>1.2</v>
      </c>
      <c r="Z19" s="12">
        <f>'Model inputs'!Z22*'Model inputs'!B28</f>
        <v>1.2</v>
      </c>
      <c r="AA19" s="12">
        <f>'Model inputs'!AA22*'Model inputs'!B28</f>
        <v>1.2</v>
      </c>
      <c r="AB19" s="12">
        <f>'Model inputs'!AB22*'Model inputs'!B28</f>
        <v>1.2</v>
      </c>
      <c r="AC19" s="12">
        <f>'Model inputs'!AC22*'Model inputs'!B28</f>
        <v>1.2</v>
      </c>
      <c r="AD19" s="12">
        <f>'Model inputs'!AD22*'Model inputs'!B28</f>
        <v>1.2</v>
      </c>
      <c r="AE19" s="12">
        <f>'Model inputs'!AE22*'Model inputs'!B28</f>
        <v>1.2</v>
      </c>
      <c r="AF19" s="12">
        <f>'Model inputs'!AF22*'Model inputs'!B28</f>
        <v>1.2</v>
      </c>
      <c r="AG19" s="12">
        <f>'Model inputs'!AG22*'Model inputs'!B28</f>
        <v>1.2</v>
      </c>
      <c r="AH19" s="12">
        <f>'Model inputs'!AH22*'Model inputs'!B28</f>
        <v>1.2</v>
      </c>
      <c r="AI19" s="12">
        <f>'Model inputs'!AI22*'Model inputs'!B28</f>
        <v>1.2</v>
      </c>
      <c r="AJ19" s="12">
        <f>'Model inputs'!AJ22*'Model inputs'!B28</f>
        <v>1.2</v>
      </c>
      <c r="AK19" s="12">
        <f>'Model inputs'!AK22*'Model inputs'!B28</f>
        <v>1.2</v>
      </c>
      <c r="AL19" s="12">
        <f>'Model inputs'!AL22*'Model inputs'!B28</f>
        <v>1.2</v>
      </c>
      <c r="AM19" s="12">
        <f>'Model inputs'!AM22*'Model inputs'!B28</f>
        <v>1.2</v>
      </c>
    </row>
    <row r="20">
      <c r="A20" t="inlineStr" s="11">
        <is>
          <t xml:space="preserve">Fixes per customer per month · Completed remediations</t>
        </is>
      </c>
      <c r="B20" s="12">
        <f>100</f>
        <v>100</v>
      </c>
    </row>
    <row r="21">
      <c r="A21" t="inlineStr" s="11">
        <is>
          <t xml:space="preserve">Gross customer additions</t>
        </is>
      </c>
      <c r="C21" s="12">
        <v>0</v>
      </c>
      <c r="D21" s="12">
        <f>IF(IF(IF(IF(ISERROR('Model inputs'!D25&lt;='Model inputs'!B23),'Model inputs'!D25&lt;='Model inputs'!B23,IF(OR('Model inputs'!D25="",'Model inputs'!B23=""),"",'Model inputs'!D25&lt;='Model inputs'!B23))="",FALSE,IF(ISERROR('Model inputs'!D25&lt;='Model inputs'!B23),'Model inputs'!D25&lt;='Model inputs'!B23,IF(OR('Model inputs'!D25="",'Model inputs'!B23=""),"",'Model inputs'!D25&lt;='Model inputs'!B23))),('Model inputs'!B27-'Model inputs'!B26)/'Model inputs'!B23,0)="",0,IF(IF(IF(ISERROR('Model inputs'!D25&lt;='Model inputs'!B23),'Model inputs'!D25&lt;='Model inputs'!B23,IF(OR('Model inputs'!D25="",'Model inputs'!B23=""),"",'Model inputs'!D25&lt;='Model inputs'!B23))="",FALSE,IF(ISERROR('Model inputs'!D25&lt;='Model inputs'!B23),'Model inputs'!D25&lt;='Model inputs'!B23,IF(OR('Model inputs'!D25="",'Model inputs'!B23=""),"",'Model inputs'!D25&lt;='Model inputs'!B23))),('Model inputs'!B27-'Model inputs'!B26)/'Model inputs'!B23,0))+'Model inputs'!D22*'Model inputs'!B28</f>
        <v>10</v>
      </c>
      <c r="E21" s="12">
        <f>IF(IF(IF(IF(ISERROR('Model inputs'!E25&lt;='Model inputs'!B23),'Model inputs'!E25&lt;='Model inputs'!B23,IF(OR('Model inputs'!E25="",'Model inputs'!B23=""),"",'Model inputs'!E25&lt;='Model inputs'!B23))="",FALSE,IF(ISERROR('Model inputs'!E25&lt;='Model inputs'!B23),'Model inputs'!E25&lt;='Model inputs'!B23,IF(OR('Model inputs'!E25="",'Model inputs'!B23=""),"",'Model inputs'!E25&lt;='Model inputs'!B23))),('Model inputs'!B27-'Model inputs'!B26)/'Model inputs'!B23,0)="",0,IF(IF(IF(ISERROR('Model inputs'!E25&lt;='Model inputs'!B23),'Model inputs'!E25&lt;='Model inputs'!B23,IF(OR('Model inputs'!E25="",'Model inputs'!B23=""),"",'Model inputs'!E25&lt;='Model inputs'!B23))="",FALSE,IF(ISERROR('Model inputs'!E25&lt;='Model inputs'!B23),'Model inputs'!E25&lt;='Model inputs'!B23,IF(OR('Model inputs'!E25="",'Model inputs'!B23=""),"",'Model inputs'!E25&lt;='Model inputs'!B23))),('Model inputs'!B27-'Model inputs'!B26)/'Model inputs'!B23,0))+'Model inputs'!E22*'Model inputs'!B28</f>
        <v>10.1</v>
      </c>
      <c r="F21" s="12">
        <f>IF(IF(IF(IF(ISERROR('Model inputs'!F25&lt;='Model inputs'!B23),'Model inputs'!F25&lt;='Model inputs'!B23,IF(OR('Model inputs'!F25="",'Model inputs'!B23=""),"",'Model inputs'!F25&lt;='Model inputs'!B23))="",FALSE,IF(ISERROR('Model inputs'!F25&lt;='Model inputs'!B23),'Model inputs'!F25&lt;='Model inputs'!B23,IF(OR('Model inputs'!F25="",'Model inputs'!B23=""),"",'Model inputs'!F25&lt;='Model inputs'!B23))),('Model inputs'!B27-'Model inputs'!B26)/'Model inputs'!B23,0)="",0,IF(IF(IF(ISERROR('Model inputs'!F25&lt;='Model inputs'!B23),'Model inputs'!F25&lt;='Model inputs'!B23,IF(OR('Model inputs'!F25="",'Model inputs'!B23=""),"",'Model inputs'!F25&lt;='Model inputs'!B23))="",FALSE,IF(ISERROR('Model inputs'!F25&lt;='Model inputs'!B23),'Model inputs'!F25&lt;='Model inputs'!B23,IF(OR('Model inputs'!F25="",'Model inputs'!B23=""),"",'Model inputs'!F25&lt;='Model inputs'!B23))),('Model inputs'!B27-'Model inputs'!B26)/'Model inputs'!B23,0))+'Model inputs'!F22*'Model inputs'!B28</f>
        <v>10.2</v>
      </c>
      <c r="G21" s="12">
        <f>IF(IF(IF(IF(ISERROR('Model inputs'!G25&lt;='Model inputs'!B23),'Model inputs'!G25&lt;='Model inputs'!B23,IF(OR('Model inputs'!G25="",'Model inputs'!B23=""),"",'Model inputs'!G25&lt;='Model inputs'!B23))="",FALSE,IF(ISERROR('Model inputs'!G25&lt;='Model inputs'!B23),'Model inputs'!G25&lt;='Model inputs'!B23,IF(OR('Model inputs'!G25="",'Model inputs'!B23=""),"",'Model inputs'!G25&lt;='Model inputs'!B23))),('Model inputs'!B27-'Model inputs'!B26)/'Model inputs'!B23,0)="",0,IF(IF(IF(ISERROR('Model inputs'!G25&lt;='Model inputs'!B23),'Model inputs'!G25&lt;='Model inputs'!B23,IF(OR('Model inputs'!G25="",'Model inputs'!B23=""),"",'Model inputs'!G25&lt;='Model inputs'!B23))="",FALSE,IF(ISERROR('Model inputs'!G25&lt;='Model inputs'!B23),'Model inputs'!G25&lt;='Model inputs'!B23,IF(OR('Model inputs'!G25="",'Model inputs'!B23=""),"",'Model inputs'!G25&lt;='Model inputs'!B23))),('Model inputs'!B27-'Model inputs'!B26)/'Model inputs'!B23,0))+'Model inputs'!G22*'Model inputs'!B28</f>
        <v>10.3</v>
      </c>
      <c r="H21" s="12">
        <f>IF(IF(IF(IF(ISERROR('Model inputs'!H25&lt;='Model inputs'!B23),'Model inputs'!H25&lt;='Model inputs'!B23,IF(OR('Model inputs'!H25="",'Model inputs'!B23=""),"",'Model inputs'!H25&lt;='Model inputs'!B23))="",FALSE,IF(ISERROR('Model inputs'!H25&lt;='Model inputs'!B23),'Model inputs'!H25&lt;='Model inputs'!B23,IF(OR('Model inputs'!H25="",'Model inputs'!B23=""),"",'Model inputs'!H25&lt;='Model inputs'!B23))),('Model inputs'!B27-'Model inputs'!B26)/'Model inputs'!B23,0)="",0,IF(IF(IF(ISERROR('Model inputs'!H25&lt;='Model inputs'!B23),'Model inputs'!H25&lt;='Model inputs'!B23,IF(OR('Model inputs'!H25="",'Model inputs'!B23=""),"",'Model inputs'!H25&lt;='Model inputs'!B23))="",FALSE,IF(ISERROR('Model inputs'!H25&lt;='Model inputs'!B23),'Model inputs'!H25&lt;='Model inputs'!B23,IF(OR('Model inputs'!H25="",'Model inputs'!B23=""),"",'Model inputs'!H25&lt;='Model inputs'!B23))),('Model inputs'!B27-'Model inputs'!B26)/'Model inputs'!B23,0))+'Model inputs'!H22*'Model inputs'!B28</f>
        <v>10.4</v>
      </c>
      <c r="I21" s="12">
        <f>IF(IF(IF(IF(ISERROR('Model inputs'!I25&lt;='Model inputs'!B23),'Model inputs'!I25&lt;='Model inputs'!B23,IF(OR('Model inputs'!I25="",'Model inputs'!B23=""),"",'Model inputs'!I25&lt;='Model inputs'!B23))="",FALSE,IF(ISERROR('Model inputs'!I25&lt;='Model inputs'!B23),'Model inputs'!I25&lt;='Model inputs'!B23,IF(OR('Model inputs'!I25="",'Model inputs'!B23=""),"",'Model inputs'!I25&lt;='Model inputs'!B23))),('Model inputs'!B27-'Model inputs'!B26)/'Model inputs'!B23,0)="",0,IF(IF(IF(ISERROR('Model inputs'!I25&lt;='Model inputs'!B23),'Model inputs'!I25&lt;='Model inputs'!B23,IF(OR('Model inputs'!I25="",'Model inputs'!B23=""),"",'Model inputs'!I25&lt;='Model inputs'!B23))="",FALSE,IF(ISERROR('Model inputs'!I25&lt;='Model inputs'!B23),'Model inputs'!I25&lt;='Model inputs'!B23,IF(OR('Model inputs'!I25="",'Model inputs'!B23=""),"",'Model inputs'!I25&lt;='Model inputs'!B23))),('Model inputs'!B27-'Model inputs'!B26)/'Model inputs'!B23,0))+'Model inputs'!I22*'Model inputs'!B28</f>
        <v>10.5</v>
      </c>
      <c r="J21" s="12">
        <f>IF(IF(IF(IF(ISERROR('Model inputs'!J25&lt;='Model inputs'!B23),'Model inputs'!J25&lt;='Model inputs'!B23,IF(OR('Model inputs'!J25="",'Model inputs'!B23=""),"",'Model inputs'!J25&lt;='Model inputs'!B23))="",FALSE,IF(ISERROR('Model inputs'!J25&lt;='Model inputs'!B23),'Model inputs'!J25&lt;='Model inputs'!B23,IF(OR('Model inputs'!J25="",'Model inputs'!B23=""),"",'Model inputs'!J25&lt;='Model inputs'!B23))),('Model inputs'!B27-'Model inputs'!B26)/'Model inputs'!B23,0)="",0,IF(IF(IF(ISERROR('Model inputs'!J25&lt;='Model inputs'!B23),'Model inputs'!J25&lt;='Model inputs'!B23,IF(OR('Model inputs'!J25="",'Model inputs'!B23=""),"",'Model inputs'!J25&lt;='Model inputs'!B23))="",FALSE,IF(ISERROR('Model inputs'!J25&lt;='Model inputs'!B23),'Model inputs'!J25&lt;='Model inputs'!B23,IF(OR('Model inputs'!J25="",'Model inputs'!B23=""),"",'Model inputs'!J25&lt;='Model inputs'!B23))),('Model inputs'!B27-'Model inputs'!B26)/'Model inputs'!B23,0))+'Model inputs'!J22*'Model inputs'!B28</f>
        <v>10.6</v>
      </c>
      <c r="K21" s="12">
        <f>IF(IF(IF(IF(ISERROR('Model inputs'!K25&lt;='Model inputs'!B23),'Model inputs'!K25&lt;='Model inputs'!B23,IF(OR('Model inputs'!K25="",'Model inputs'!B23=""),"",'Model inputs'!K25&lt;='Model inputs'!B23))="",FALSE,IF(ISERROR('Model inputs'!K25&lt;='Model inputs'!B23),'Model inputs'!K25&lt;='Model inputs'!B23,IF(OR('Model inputs'!K25="",'Model inputs'!B23=""),"",'Model inputs'!K25&lt;='Model inputs'!B23))),('Model inputs'!B27-'Model inputs'!B26)/'Model inputs'!B23,0)="",0,IF(IF(IF(ISERROR('Model inputs'!K25&lt;='Model inputs'!B23),'Model inputs'!K25&lt;='Model inputs'!B23,IF(OR('Model inputs'!K25="",'Model inputs'!B23=""),"",'Model inputs'!K25&lt;='Model inputs'!B23))="",FALSE,IF(ISERROR('Model inputs'!K25&lt;='Model inputs'!B23),'Model inputs'!K25&lt;='Model inputs'!B23,IF(OR('Model inputs'!K25="",'Model inputs'!B23=""),"",'Model inputs'!K25&lt;='Model inputs'!B23))),('Model inputs'!B27-'Model inputs'!B26)/'Model inputs'!B23,0))+'Model inputs'!K22*'Model inputs'!B28</f>
        <v>10.7</v>
      </c>
      <c r="L21" s="12">
        <f>IF(IF(IF(IF(ISERROR('Model inputs'!L25&lt;='Model inputs'!B23),'Model inputs'!L25&lt;='Model inputs'!B23,IF(OR('Model inputs'!L25="",'Model inputs'!B23=""),"",'Model inputs'!L25&lt;='Model inputs'!B23))="",FALSE,IF(ISERROR('Model inputs'!L25&lt;='Model inputs'!B23),'Model inputs'!L25&lt;='Model inputs'!B23,IF(OR('Model inputs'!L25="",'Model inputs'!B23=""),"",'Model inputs'!L25&lt;='Model inputs'!B23))),('Model inputs'!B27-'Model inputs'!B26)/'Model inputs'!B23,0)="",0,IF(IF(IF(ISERROR('Model inputs'!L25&lt;='Model inputs'!B23),'Model inputs'!L25&lt;='Model inputs'!B23,IF(OR('Model inputs'!L25="",'Model inputs'!B23=""),"",'Model inputs'!L25&lt;='Model inputs'!B23))="",FALSE,IF(ISERROR('Model inputs'!L25&lt;='Model inputs'!B23),'Model inputs'!L25&lt;='Model inputs'!B23,IF(OR('Model inputs'!L25="",'Model inputs'!B23=""),"",'Model inputs'!L25&lt;='Model inputs'!B23))),('Model inputs'!B27-'Model inputs'!B26)/'Model inputs'!B23,0))+'Model inputs'!L22*'Model inputs'!B28</f>
        <v>10.8</v>
      </c>
      <c r="M21" s="12">
        <f>IF(IF(IF(IF(ISERROR('Model inputs'!M25&lt;='Model inputs'!B23),'Model inputs'!M25&lt;='Model inputs'!B23,IF(OR('Model inputs'!M25="",'Model inputs'!B23=""),"",'Model inputs'!M25&lt;='Model inputs'!B23))="",FALSE,IF(ISERROR('Model inputs'!M25&lt;='Model inputs'!B23),'Model inputs'!M25&lt;='Model inputs'!B23,IF(OR('Model inputs'!M25="",'Model inputs'!B23=""),"",'Model inputs'!M25&lt;='Model inputs'!B23))),('Model inputs'!B27-'Model inputs'!B26)/'Model inputs'!B23,0)="",0,IF(IF(IF(ISERROR('Model inputs'!M25&lt;='Model inputs'!B23),'Model inputs'!M25&lt;='Model inputs'!B23,IF(OR('Model inputs'!M25="",'Model inputs'!B23=""),"",'Model inputs'!M25&lt;='Model inputs'!B23))="",FALSE,IF(ISERROR('Model inputs'!M25&lt;='Model inputs'!B23),'Model inputs'!M25&lt;='Model inputs'!B23,IF(OR('Model inputs'!M25="",'Model inputs'!B23=""),"",'Model inputs'!M25&lt;='Model inputs'!B23))),('Model inputs'!B27-'Model inputs'!B26)/'Model inputs'!B23,0))+'Model inputs'!M22*'Model inputs'!B28</f>
        <v>10.9</v>
      </c>
      <c r="N21" s="12">
        <f>IF(IF(IF(IF(ISERROR('Model inputs'!N25&lt;='Model inputs'!B23),'Model inputs'!N25&lt;='Model inputs'!B23,IF(OR('Model inputs'!N25="",'Model inputs'!B23=""),"",'Model inputs'!N25&lt;='Model inputs'!B23))="",FALSE,IF(ISERROR('Model inputs'!N25&lt;='Model inputs'!B23),'Model inputs'!N25&lt;='Model inputs'!B23,IF(OR('Model inputs'!N25="",'Model inputs'!B23=""),"",'Model inputs'!N25&lt;='Model inputs'!B23))),('Model inputs'!B27-'Model inputs'!B26)/'Model inputs'!B23,0)="",0,IF(IF(IF(ISERROR('Model inputs'!N25&lt;='Model inputs'!B23),'Model inputs'!N25&lt;='Model inputs'!B23,IF(OR('Model inputs'!N25="",'Model inputs'!B23=""),"",'Model inputs'!N25&lt;='Model inputs'!B23))="",FALSE,IF(ISERROR('Model inputs'!N25&lt;='Model inputs'!B23),'Model inputs'!N25&lt;='Model inputs'!B23,IF(OR('Model inputs'!N25="",'Model inputs'!B23=""),"",'Model inputs'!N25&lt;='Model inputs'!B23))),('Model inputs'!B27-'Model inputs'!B26)/'Model inputs'!B23,0))+'Model inputs'!N22*'Model inputs'!B28</f>
        <v>11</v>
      </c>
      <c r="O21" s="12">
        <f>IF(IF(IF(IF(ISERROR('Model inputs'!O25&lt;='Model inputs'!B23),'Model inputs'!O25&lt;='Model inputs'!B23,IF(OR('Model inputs'!O25="",'Model inputs'!B23=""),"",'Model inputs'!O25&lt;='Model inputs'!B23))="",FALSE,IF(ISERROR('Model inputs'!O25&lt;='Model inputs'!B23),'Model inputs'!O25&lt;='Model inputs'!B23,IF(OR('Model inputs'!O25="",'Model inputs'!B23=""),"",'Model inputs'!O25&lt;='Model inputs'!B23))),('Model inputs'!B27-'Model inputs'!B26)/'Model inputs'!B23,0)="",0,IF(IF(IF(ISERROR('Model inputs'!O25&lt;='Model inputs'!B23),'Model inputs'!O25&lt;='Model inputs'!B23,IF(OR('Model inputs'!O25="",'Model inputs'!B23=""),"",'Model inputs'!O25&lt;='Model inputs'!B23))="",FALSE,IF(ISERROR('Model inputs'!O25&lt;='Model inputs'!B23),'Model inputs'!O25&lt;='Model inputs'!B23,IF(OR('Model inputs'!O25="",'Model inputs'!B23=""),"",'Model inputs'!O25&lt;='Model inputs'!B23))),('Model inputs'!B27-'Model inputs'!B26)/'Model inputs'!B23,0))+'Model inputs'!O22*'Model inputs'!B28</f>
        <v>11.1</v>
      </c>
      <c r="P21" s="12">
        <f>IF(IF(IF(IF(ISERROR('Model inputs'!P25&lt;='Model inputs'!B23),'Model inputs'!P25&lt;='Model inputs'!B23,IF(OR('Model inputs'!P25="",'Model inputs'!B23=""),"",'Model inputs'!P25&lt;='Model inputs'!B23))="",FALSE,IF(ISERROR('Model inputs'!P25&lt;='Model inputs'!B23),'Model inputs'!P25&lt;='Model inputs'!B23,IF(OR('Model inputs'!P25="",'Model inputs'!B23=""),"",'Model inputs'!P25&lt;='Model inputs'!B23))),('Model inputs'!B27-'Model inputs'!B26)/'Model inputs'!B23,0)="",0,IF(IF(IF(ISERROR('Model inputs'!P25&lt;='Model inputs'!B23),'Model inputs'!P25&lt;='Model inputs'!B23,IF(OR('Model inputs'!P25="",'Model inputs'!B23=""),"",'Model inputs'!P25&lt;='Model inputs'!B23))="",FALSE,IF(ISERROR('Model inputs'!P25&lt;='Model inputs'!B23),'Model inputs'!P25&lt;='Model inputs'!B23,IF(OR('Model inputs'!P25="",'Model inputs'!B23=""),"",'Model inputs'!P25&lt;='Model inputs'!B23))),('Model inputs'!B27-'Model inputs'!B26)/'Model inputs'!B23,0))+'Model inputs'!P22*'Model inputs'!B28</f>
        <v>1.2</v>
      </c>
      <c r="Q21" s="12">
        <f>IF(IF(IF(IF(ISERROR('Model inputs'!Q25&lt;='Model inputs'!B23),'Model inputs'!Q25&lt;='Model inputs'!B23,IF(OR('Model inputs'!Q25="",'Model inputs'!B23=""),"",'Model inputs'!Q25&lt;='Model inputs'!B23))="",FALSE,IF(ISERROR('Model inputs'!Q25&lt;='Model inputs'!B23),'Model inputs'!Q25&lt;='Model inputs'!B23,IF(OR('Model inputs'!Q25="",'Model inputs'!B23=""),"",'Model inputs'!Q25&lt;='Model inputs'!B23))),('Model inputs'!B27-'Model inputs'!B26)/'Model inputs'!B23,0)="",0,IF(IF(IF(ISERROR('Model inputs'!Q25&lt;='Model inputs'!B23),'Model inputs'!Q25&lt;='Model inputs'!B23,IF(OR('Model inputs'!Q25="",'Model inputs'!B23=""),"",'Model inputs'!Q25&lt;='Model inputs'!B23))="",FALSE,IF(ISERROR('Model inputs'!Q25&lt;='Model inputs'!B23),'Model inputs'!Q25&lt;='Model inputs'!B23,IF(OR('Model inputs'!Q25="",'Model inputs'!B23=""),"",'Model inputs'!Q25&lt;='Model inputs'!B23))),('Model inputs'!B27-'Model inputs'!B26)/'Model inputs'!B23,0))+'Model inputs'!Q22*'Model inputs'!B28</f>
        <v>1.2</v>
      </c>
      <c r="R21" s="12">
        <f>IF(IF(IF(IF(ISERROR('Model inputs'!R25&lt;='Model inputs'!B23),'Model inputs'!R25&lt;='Model inputs'!B23,IF(OR('Model inputs'!R25="",'Model inputs'!B23=""),"",'Model inputs'!R25&lt;='Model inputs'!B23))="",FALSE,IF(ISERROR('Model inputs'!R25&lt;='Model inputs'!B23),'Model inputs'!R25&lt;='Model inputs'!B23,IF(OR('Model inputs'!R25="",'Model inputs'!B23=""),"",'Model inputs'!R25&lt;='Model inputs'!B23))),('Model inputs'!B27-'Model inputs'!B26)/'Model inputs'!B23,0)="",0,IF(IF(IF(ISERROR('Model inputs'!R25&lt;='Model inputs'!B23),'Model inputs'!R25&lt;='Model inputs'!B23,IF(OR('Model inputs'!R25="",'Model inputs'!B23=""),"",'Model inputs'!R25&lt;='Model inputs'!B23))="",FALSE,IF(ISERROR('Model inputs'!R25&lt;='Model inputs'!B23),'Model inputs'!R25&lt;='Model inputs'!B23,IF(OR('Model inputs'!R25="",'Model inputs'!B23=""),"",'Model inputs'!R25&lt;='Model inputs'!B23))),('Model inputs'!B27-'Model inputs'!B26)/'Model inputs'!B23,0))+'Model inputs'!R22*'Model inputs'!B28</f>
        <v>1.2</v>
      </c>
      <c r="S21" s="12">
        <f>IF(IF(IF(IF(ISERROR('Model inputs'!S25&lt;='Model inputs'!B23),'Model inputs'!S25&lt;='Model inputs'!B23,IF(OR('Model inputs'!S25="",'Model inputs'!B23=""),"",'Model inputs'!S25&lt;='Model inputs'!B23))="",FALSE,IF(ISERROR('Model inputs'!S25&lt;='Model inputs'!B23),'Model inputs'!S25&lt;='Model inputs'!B23,IF(OR('Model inputs'!S25="",'Model inputs'!B23=""),"",'Model inputs'!S25&lt;='Model inputs'!B23))),('Model inputs'!B27-'Model inputs'!B26)/'Model inputs'!B23,0)="",0,IF(IF(IF(ISERROR('Model inputs'!S25&lt;='Model inputs'!B23),'Model inputs'!S25&lt;='Model inputs'!B23,IF(OR('Model inputs'!S25="",'Model inputs'!B23=""),"",'Model inputs'!S25&lt;='Model inputs'!B23))="",FALSE,IF(ISERROR('Model inputs'!S25&lt;='Model inputs'!B23),'Model inputs'!S25&lt;='Model inputs'!B23,IF(OR('Model inputs'!S25="",'Model inputs'!B23=""),"",'Model inputs'!S25&lt;='Model inputs'!B23))),('Model inputs'!B27-'Model inputs'!B26)/'Model inputs'!B23,0))+'Model inputs'!S22*'Model inputs'!B28</f>
        <v>1.2</v>
      </c>
      <c r="T21" s="12">
        <f>IF(IF(IF(IF(ISERROR('Model inputs'!T25&lt;='Model inputs'!B23),'Model inputs'!T25&lt;='Model inputs'!B23,IF(OR('Model inputs'!T25="",'Model inputs'!B23=""),"",'Model inputs'!T25&lt;='Model inputs'!B23))="",FALSE,IF(ISERROR('Model inputs'!T25&lt;='Model inputs'!B23),'Model inputs'!T25&lt;='Model inputs'!B23,IF(OR('Model inputs'!T25="",'Model inputs'!B23=""),"",'Model inputs'!T25&lt;='Model inputs'!B23))),('Model inputs'!B27-'Model inputs'!B26)/'Model inputs'!B23,0)="",0,IF(IF(IF(ISERROR('Model inputs'!T25&lt;='Model inputs'!B23),'Model inputs'!T25&lt;='Model inputs'!B23,IF(OR('Model inputs'!T25="",'Model inputs'!B23=""),"",'Model inputs'!T25&lt;='Model inputs'!B23))="",FALSE,IF(ISERROR('Model inputs'!T25&lt;='Model inputs'!B23),'Model inputs'!T25&lt;='Model inputs'!B23,IF(OR('Model inputs'!T25="",'Model inputs'!B23=""),"",'Model inputs'!T25&lt;='Model inputs'!B23))),('Model inputs'!B27-'Model inputs'!B26)/'Model inputs'!B23,0))+'Model inputs'!T22*'Model inputs'!B28</f>
        <v>1.2</v>
      </c>
      <c r="U21" s="12">
        <f>IF(IF(IF(IF(ISERROR('Model inputs'!U25&lt;='Model inputs'!B23),'Model inputs'!U25&lt;='Model inputs'!B23,IF(OR('Model inputs'!U25="",'Model inputs'!B23=""),"",'Model inputs'!U25&lt;='Model inputs'!B23))="",FALSE,IF(ISERROR('Model inputs'!U25&lt;='Model inputs'!B23),'Model inputs'!U25&lt;='Model inputs'!B23,IF(OR('Model inputs'!U25="",'Model inputs'!B23=""),"",'Model inputs'!U25&lt;='Model inputs'!B23))),('Model inputs'!B27-'Model inputs'!B26)/'Model inputs'!B23,0)="",0,IF(IF(IF(ISERROR('Model inputs'!U25&lt;='Model inputs'!B23),'Model inputs'!U25&lt;='Model inputs'!B23,IF(OR('Model inputs'!U25="",'Model inputs'!B23=""),"",'Model inputs'!U25&lt;='Model inputs'!B23))="",FALSE,IF(ISERROR('Model inputs'!U25&lt;='Model inputs'!B23),'Model inputs'!U25&lt;='Model inputs'!B23,IF(OR('Model inputs'!U25="",'Model inputs'!B23=""),"",'Model inputs'!U25&lt;='Model inputs'!B23))),('Model inputs'!B27-'Model inputs'!B26)/'Model inputs'!B23,0))+'Model inputs'!U22*'Model inputs'!B28</f>
        <v>1.2</v>
      </c>
      <c r="V21" s="12">
        <f>IF(IF(IF(IF(ISERROR('Model inputs'!V25&lt;='Model inputs'!B23),'Model inputs'!V25&lt;='Model inputs'!B23,IF(OR('Model inputs'!V25="",'Model inputs'!B23=""),"",'Model inputs'!V25&lt;='Model inputs'!B23))="",FALSE,IF(ISERROR('Model inputs'!V25&lt;='Model inputs'!B23),'Model inputs'!V25&lt;='Model inputs'!B23,IF(OR('Model inputs'!V25="",'Model inputs'!B23=""),"",'Model inputs'!V25&lt;='Model inputs'!B23))),('Model inputs'!B27-'Model inputs'!B26)/'Model inputs'!B23,0)="",0,IF(IF(IF(ISERROR('Model inputs'!V25&lt;='Model inputs'!B23),'Model inputs'!V25&lt;='Model inputs'!B23,IF(OR('Model inputs'!V25="",'Model inputs'!B23=""),"",'Model inputs'!V25&lt;='Model inputs'!B23))="",FALSE,IF(ISERROR('Model inputs'!V25&lt;='Model inputs'!B23),'Model inputs'!V25&lt;='Model inputs'!B23,IF(OR('Model inputs'!V25="",'Model inputs'!B23=""),"",'Model inputs'!V25&lt;='Model inputs'!B23))),('Model inputs'!B27-'Model inputs'!B26)/'Model inputs'!B23,0))+'Model inputs'!V22*'Model inputs'!B28</f>
        <v>1.2</v>
      </c>
      <c r="W21" s="12">
        <f>IF(IF(IF(IF(ISERROR('Model inputs'!W25&lt;='Model inputs'!B23),'Model inputs'!W25&lt;='Model inputs'!B23,IF(OR('Model inputs'!W25="",'Model inputs'!B23=""),"",'Model inputs'!W25&lt;='Model inputs'!B23))="",FALSE,IF(ISERROR('Model inputs'!W25&lt;='Model inputs'!B23),'Model inputs'!W25&lt;='Model inputs'!B23,IF(OR('Model inputs'!W25="",'Model inputs'!B23=""),"",'Model inputs'!W25&lt;='Model inputs'!B23))),('Model inputs'!B27-'Model inputs'!B26)/'Model inputs'!B23,0)="",0,IF(IF(IF(ISERROR('Model inputs'!W25&lt;='Model inputs'!B23),'Model inputs'!W25&lt;='Model inputs'!B23,IF(OR('Model inputs'!W25="",'Model inputs'!B23=""),"",'Model inputs'!W25&lt;='Model inputs'!B23))="",FALSE,IF(ISERROR('Model inputs'!W25&lt;='Model inputs'!B23),'Model inputs'!W25&lt;='Model inputs'!B23,IF(OR('Model inputs'!W25="",'Model inputs'!B23=""),"",'Model inputs'!W25&lt;='Model inputs'!B23))),('Model inputs'!B27-'Model inputs'!B26)/'Model inputs'!B23,0))+'Model inputs'!W22*'Model inputs'!B28</f>
        <v>1.2</v>
      </c>
      <c r="X21" s="12">
        <f>IF(IF(IF(IF(ISERROR('Model inputs'!X25&lt;='Model inputs'!B23),'Model inputs'!X25&lt;='Model inputs'!B23,IF(OR('Model inputs'!X25="",'Model inputs'!B23=""),"",'Model inputs'!X25&lt;='Model inputs'!B23))="",FALSE,IF(ISERROR('Model inputs'!X25&lt;='Model inputs'!B23),'Model inputs'!X25&lt;='Model inputs'!B23,IF(OR('Model inputs'!X25="",'Model inputs'!B23=""),"",'Model inputs'!X25&lt;='Model inputs'!B23))),('Model inputs'!B27-'Model inputs'!B26)/'Model inputs'!B23,0)="",0,IF(IF(IF(ISERROR('Model inputs'!X25&lt;='Model inputs'!B23),'Model inputs'!X25&lt;='Model inputs'!B23,IF(OR('Model inputs'!X25="",'Model inputs'!B23=""),"",'Model inputs'!X25&lt;='Model inputs'!B23))="",FALSE,IF(ISERROR('Model inputs'!X25&lt;='Model inputs'!B23),'Model inputs'!X25&lt;='Model inputs'!B23,IF(OR('Model inputs'!X25="",'Model inputs'!B23=""),"",'Model inputs'!X25&lt;='Model inputs'!B23))),('Model inputs'!B27-'Model inputs'!B26)/'Model inputs'!B23,0))+'Model inputs'!X22*'Model inputs'!B28</f>
        <v>1.2</v>
      </c>
      <c r="Y21" s="12">
        <f>IF(IF(IF(IF(ISERROR('Model inputs'!Y25&lt;='Model inputs'!B23),'Model inputs'!Y25&lt;='Model inputs'!B23,IF(OR('Model inputs'!Y25="",'Model inputs'!B23=""),"",'Model inputs'!Y25&lt;='Model inputs'!B23))="",FALSE,IF(ISERROR('Model inputs'!Y25&lt;='Model inputs'!B23),'Model inputs'!Y25&lt;='Model inputs'!B23,IF(OR('Model inputs'!Y25="",'Model inputs'!B23=""),"",'Model inputs'!Y25&lt;='Model inputs'!B23))),('Model inputs'!B27-'Model inputs'!B26)/'Model inputs'!B23,0)="",0,IF(IF(IF(ISERROR('Model inputs'!Y25&lt;='Model inputs'!B23),'Model inputs'!Y25&lt;='Model inputs'!B23,IF(OR('Model inputs'!Y25="",'Model inputs'!B23=""),"",'Model inputs'!Y25&lt;='Model inputs'!B23))="",FALSE,IF(ISERROR('Model inputs'!Y25&lt;='Model inputs'!B23),'Model inputs'!Y25&lt;='Model inputs'!B23,IF(OR('Model inputs'!Y25="",'Model inputs'!B23=""),"",'Model inputs'!Y25&lt;='Model inputs'!B23))),('Model inputs'!B27-'Model inputs'!B26)/'Model inputs'!B23,0))+'Model inputs'!Y22*'Model inputs'!B28</f>
        <v>1.2</v>
      </c>
      <c r="Z21" s="12">
        <f>IF(IF(IF(IF(ISERROR('Model inputs'!Z25&lt;='Model inputs'!B23),'Model inputs'!Z25&lt;='Model inputs'!B23,IF(OR('Model inputs'!Z25="",'Model inputs'!B23=""),"",'Model inputs'!Z25&lt;='Model inputs'!B23))="",FALSE,IF(ISERROR('Model inputs'!Z25&lt;='Model inputs'!B23),'Model inputs'!Z25&lt;='Model inputs'!B23,IF(OR('Model inputs'!Z25="",'Model inputs'!B23=""),"",'Model inputs'!Z25&lt;='Model inputs'!B23))),('Model inputs'!B27-'Model inputs'!B26)/'Model inputs'!B23,0)="",0,IF(IF(IF(ISERROR('Model inputs'!Z25&lt;='Model inputs'!B23),'Model inputs'!Z25&lt;='Model inputs'!B23,IF(OR('Model inputs'!Z25="",'Model inputs'!B23=""),"",'Model inputs'!Z25&lt;='Model inputs'!B23))="",FALSE,IF(ISERROR('Model inputs'!Z25&lt;='Model inputs'!B23),'Model inputs'!Z25&lt;='Model inputs'!B23,IF(OR('Model inputs'!Z25="",'Model inputs'!B23=""),"",'Model inputs'!Z25&lt;='Model inputs'!B23))),('Model inputs'!B27-'Model inputs'!B26)/'Model inputs'!B23,0))+'Model inputs'!Z22*'Model inputs'!B28</f>
        <v>1.2</v>
      </c>
      <c r="AA21" s="12">
        <f>IF(IF(IF(IF(ISERROR('Model inputs'!AA25&lt;='Model inputs'!B23),'Model inputs'!AA25&lt;='Model inputs'!B23,IF(OR('Model inputs'!AA25="",'Model inputs'!B23=""),"",'Model inputs'!AA25&lt;='Model inputs'!B23))="",FALSE,IF(ISERROR('Model inputs'!AA25&lt;='Model inputs'!B23),'Model inputs'!AA25&lt;='Model inputs'!B23,IF(OR('Model inputs'!AA25="",'Model inputs'!B23=""),"",'Model inputs'!AA25&lt;='Model inputs'!B23))),('Model inputs'!B27-'Model inputs'!B26)/'Model inputs'!B23,0)="",0,IF(IF(IF(ISERROR('Model inputs'!AA25&lt;='Model inputs'!B23),'Model inputs'!AA25&lt;='Model inputs'!B23,IF(OR('Model inputs'!AA25="",'Model inputs'!B23=""),"",'Model inputs'!AA25&lt;='Model inputs'!B23))="",FALSE,IF(ISERROR('Model inputs'!AA25&lt;='Model inputs'!B23),'Model inputs'!AA25&lt;='Model inputs'!B23,IF(OR('Model inputs'!AA25="",'Model inputs'!B23=""),"",'Model inputs'!AA25&lt;='Model inputs'!B23))),('Model inputs'!B27-'Model inputs'!B26)/'Model inputs'!B23,0))+'Model inputs'!AA22*'Model inputs'!B28</f>
        <v>1.2</v>
      </c>
      <c r="AB21" s="12">
        <f>IF(IF(IF(IF(ISERROR('Model inputs'!AB25&lt;='Model inputs'!B23),'Model inputs'!AB25&lt;='Model inputs'!B23,IF(OR('Model inputs'!AB25="",'Model inputs'!B23=""),"",'Model inputs'!AB25&lt;='Model inputs'!B23))="",FALSE,IF(ISERROR('Model inputs'!AB25&lt;='Model inputs'!B23),'Model inputs'!AB25&lt;='Model inputs'!B23,IF(OR('Model inputs'!AB25="",'Model inputs'!B23=""),"",'Model inputs'!AB25&lt;='Model inputs'!B23))),('Model inputs'!B27-'Model inputs'!B26)/'Model inputs'!B23,0)="",0,IF(IF(IF(ISERROR('Model inputs'!AB25&lt;='Model inputs'!B23),'Model inputs'!AB25&lt;='Model inputs'!B23,IF(OR('Model inputs'!AB25="",'Model inputs'!B23=""),"",'Model inputs'!AB25&lt;='Model inputs'!B23))="",FALSE,IF(ISERROR('Model inputs'!AB25&lt;='Model inputs'!B23),'Model inputs'!AB25&lt;='Model inputs'!B23,IF(OR('Model inputs'!AB25="",'Model inputs'!B23=""),"",'Model inputs'!AB25&lt;='Model inputs'!B23))),('Model inputs'!B27-'Model inputs'!B26)/'Model inputs'!B23,0))+'Model inputs'!AB22*'Model inputs'!B28</f>
        <v>1.2</v>
      </c>
      <c r="AC21" s="12">
        <f>IF(IF(IF(IF(ISERROR('Model inputs'!AC25&lt;='Model inputs'!B23),'Model inputs'!AC25&lt;='Model inputs'!B23,IF(OR('Model inputs'!AC25="",'Model inputs'!B23=""),"",'Model inputs'!AC25&lt;='Model inputs'!B23))="",FALSE,IF(ISERROR('Model inputs'!AC25&lt;='Model inputs'!B23),'Model inputs'!AC25&lt;='Model inputs'!B23,IF(OR('Model inputs'!AC25="",'Model inputs'!B23=""),"",'Model inputs'!AC25&lt;='Model inputs'!B23))),('Model inputs'!B27-'Model inputs'!B26)/'Model inputs'!B23,0)="",0,IF(IF(IF(ISERROR('Model inputs'!AC25&lt;='Model inputs'!B23),'Model inputs'!AC25&lt;='Model inputs'!B23,IF(OR('Model inputs'!AC25="",'Model inputs'!B23=""),"",'Model inputs'!AC25&lt;='Model inputs'!B23))="",FALSE,IF(ISERROR('Model inputs'!AC25&lt;='Model inputs'!B23),'Model inputs'!AC25&lt;='Model inputs'!B23,IF(OR('Model inputs'!AC25="",'Model inputs'!B23=""),"",'Model inputs'!AC25&lt;='Model inputs'!B23))),('Model inputs'!B27-'Model inputs'!B26)/'Model inputs'!B23,0))+'Model inputs'!AC22*'Model inputs'!B28</f>
        <v>1.2</v>
      </c>
      <c r="AD21" s="12">
        <f>IF(IF(IF(IF(ISERROR('Model inputs'!AD25&lt;='Model inputs'!B23),'Model inputs'!AD25&lt;='Model inputs'!B23,IF(OR('Model inputs'!AD25="",'Model inputs'!B23=""),"",'Model inputs'!AD25&lt;='Model inputs'!B23))="",FALSE,IF(ISERROR('Model inputs'!AD25&lt;='Model inputs'!B23),'Model inputs'!AD25&lt;='Model inputs'!B23,IF(OR('Model inputs'!AD25="",'Model inputs'!B23=""),"",'Model inputs'!AD25&lt;='Model inputs'!B23))),('Model inputs'!B27-'Model inputs'!B26)/'Model inputs'!B23,0)="",0,IF(IF(IF(ISERROR('Model inputs'!AD25&lt;='Model inputs'!B23),'Model inputs'!AD25&lt;='Model inputs'!B23,IF(OR('Model inputs'!AD25="",'Model inputs'!B23=""),"",'Model inputs'!AD25&lt;='Model inputs'!B23))="",FALSE,IF(ISERROR('Model inputs'!AD25&lt;='Model inputs'!B23),'Model inputs'!AD25&lt;='Model inputs'!B23,IF(OR('Model inputs'!AD25="",'Model inputs'!B23=""),"",'Model inputs'!AD25&lt;='Model inputs'!B23))),('Model inputs'!B27-'Model inputs'!B26)/'Model inputs'!B23,0))+'Model inputs'!AD22*'Model inputs'!B28</f>
        <v>1.2</v>
      </c>
      <c r="AE21" s="12">
        <f>IF(IF(IF(IF(ISERROR('Model inputs'!AE25&lt;='Model inputs'!B23),'Model inputs'!AE25&lt;='Model inputs'!B23,IF(OR('Model inputs'!AE25="",'Model inputs'!B23=""),"",'Model inputs'!AE25&lt;='Model inputs'!B23))="",FALSE,IF(ISERROR('Model inputs'!AE25&lt;='Model inputs'!B23),'Model inputs'!AE25&lt;='Model inputs'!B23,IF(OR('Model inputs'!AE25="",'Model inputs'!B23=""),"",'Model inputs'!AE25&lt;='Model inputs'!B23))),('Model inputs'!B27-'Model inputs'!B26)/'Model inputs'!B23,0)="",0,IF(IF(IF(ISERROR('Model inputs'!AE25&lt;='Model inputs'!B23),'Model inputs'!AE25&lt;='Model inputs'!B23,IF(OR('Model inputs'!AE25="",'Model inputs'!B23=""),"",'Model inputs'!AE25&lt;='Model inputs'!B23))="",FALSE,IF(ISERROR('Model inputs'!AE25&lt;='Model inputs'!B23),'Model inputs'!AE25&lt;='Model inputs'!B23,IF(OR('Model inputs'!AE25="",'Model inputs'!B23=""),"",'Model inputs'!AE25&lt;='Model inputs'!B23))),('Model inputs'!B27-'Model inputs'!B26)/'Model inputs'!B23,0))+'Model inputs'!AE22*'Model inputs'!B28</f>
        <v>1.2</v>
      </c>
      <c r="AF21" s="12">
        <f>IF(IF(IF(IF(ISERROR('Model inputs'!AF25&lt;='Model inputs'!B23),'Model inputs'!AF25&lt;='Model inputs'!B23,IF(OR('Model inputs'!AF25="",'Model inputs'!B23=""),"",'Model inputs'!AF25&lt;='Model inputs'!B23))="",FALSE,IF(ISERROR('Model inputs'!AF25&lt;='Model inputs'!B23),'Model inputs'!AF25&lt;='Model inputs'!B23,IF(OR('Model inputs'!AF25="",'Model inputs'!B23=""),"",'Model inputs'!AF25&lt;='Model inputs'!B23))),('Model inputs'!B27-'Model inputs'!B26)/'Model inputs'!B23,0)="",0,IF(IF(IF(ISERROR('Model inputs'!AF25&lt;='Model inputs'!B23),'Model inputs'!AF25&lt;='Model inputs'!B23,IF(OR('Model inputs'!AF25="",'Model inputs'!B23=""),"",'Model inputs'!AF25&lt;='Model inputs'!B23))="",FALSE,IF(ISERROR('Model inputs'!AF25&lt;='Model inputs'!B23),'Model inputs'!AF25&lt;='Model inputs'!B23,IF(OR('Model inputs'!AF25="",'Model inputs'!B23=""),"",'Model inputs'!AF25&lt;='Model inputs'!B23))),('Model inputs'!B27-'Model inputs'!B26)/'Model inputs'!B23,0))+'Model inputs'!AF22*'Model inputs'!B28</f>
        <v>1.2</v>
      </c>
      <c r="AG21" s="12">
        <f>IF(IF(IF(IF(ISERROR('Model inputs'!AG25&lt;='Model inputs'!B23),'Model inputs'!AG25&lt;='Model inputs'!B23,IF(OR('Model inputs'!AG25="",'Model inputs'!B23=""),"",'Model inputs'!AG25&lt;='Model inputs'!B23))="",FALSE,IF(ISERROR('Model inputs'!AG25&lt;='Model inputs'!B23),'Model inputs'!AG25&lt;='Model inputs'!B23,IF(OR('Model inputs'!AG25="",'Model inputs'!B23=""),"",'Model inputs'!AG25&lt;='Model inputs'!B23))),('Model inputs'!B27-'Model inputs'!B26)/'Model inputs'!B23,0)="",0,IF(IF(IF(ISERROR('Model inputs'!AG25&lt;='Model inputs'!B23),'Model inputs'!AG25&lt;='Model inputs'!B23,IF(OR('Model inputs'!AG25="",'Model inputs'!B23=""),"",'Model inputs'!AG25&lt;='Model inputs'!B23))="",FALSE,IF(ISERROR('Model inputs'!AG25&lt;='Model inputs'!B23),'Model inputs'!AG25&lt;='Model inputs'!B23,IF(OR('Model inputs'!AG25="",'Model inputs'!B23=""),"",'Model inputs'!AG25&lt;='Model inputs'!B23))),('Model inputs'!B27-'Model inputs'!B26)/'Model inputs'!B23,0))+'Model inputs'!AG22*'Model inputs'!B28</f>
        <v>1.2</v>
      </c>
      <c r="AH21" s="12">
        <f>IF(IF(IF(IF(ISERROR('Model inputs'!AH25&lt;='Model inputs'!B23),'Model inputs'!AH25&lt;='Model inputs'!B23,IF(OR('Model inputs'!AH25="",'Model inputs'!B23=""),"",'Model inputs'!AH25&lt;='Model inputs'!B23))="",FALSE,IF(ISERROR('Model inputs'!AH25&lt;='Model inputs'!B23),'Model inputs'!AH25&lt;='Model inputs'!B23,IF(OR('Model inputs'!AH25="",'Model inputs'!B23=""),"",'Model inputs'!AH25&lt;='Model inputs'!B23))),('Model inputs'!B27-'Model inputs'!B26)/'Model inputs'!B23,0)="",0,IF(IF(IF(ISERROR('Model inputs'!AH25&lt;='Model inputs'!B23),'Model inputs'!AH25&lt;='Model inputs'!B23,IF(OR('Model inputs'!AH25="",'Model inputs'!B23=""),"",'Model inputs'!AH25&lt;='Model inputs'!B23))="",FALSE,IF(ISERROR('Model inputs'!AH25&lt;='Model inputs'!B23),'Model inputs'!AH25&lt;='Model inputs'!B23,IF(OR('Model inputs'!AH25="",'Model inputs'!B23=""),"",'Model inputs'!AH25&lt;='Model inputs'!B23))),('Model inputs'!B27-'Model inputs'!B26)/'Model inputs'!B23,0))+'Model inputs'!AH22*'Model inputs'!B28</f>
        <v>1.2</v>
      </c>
      <c r="AI21" s="12">
        <f>IF(IF(IF(IF(ISERROR('Model inputs'!AI25&lt;='Model inputs'!B23),'Model inputs'!AI25&lt;='Model inputs'!B23,IF(OR('Model inputs'!AI25="",'Model inputs'!B23=""),"",'Model inputs'!AI25&lt;='Model inputs'!B23))="",FALSE,IF(ISERROR('Model inputs'!AI25&lt;='Model inputs'!B23),'Model inputs'!AI25&lt;='Model inputs'!B23,IF(OR('Model inputs'!AI25="",'Model inputs'!B23=""),"",'Model inputs'!AI25&lt;='Model inputs'!B23))),('Model inputs'!B27-'Model inputs'!B26)/'Model inputs'!B23,0)="",0,IF(IF(IF(ISERROR('Model inputs'!AI25&lt;='Model inputs'!B23),'Model inputs'!AI25&lt;='Model inputs'!B23,IF(OR('Model inputs'!AI25="",'Model inputs'!B23=""),"",'Model inputs'!AI25&lt;='Model inputs'!B23))="",FALSE,IF(ISERROR('Model inputs'!AI25&lt;='Model inputs'!B23),'Model inputs'!AI25&lt;='Model inputs'!B23,IF(OR('Model inputs'!AI25="",'Model inputs'!B23=""),"",'Model inputs'!AI25&lt;='Model inputs'!B23))),('Model inputs'!B27-'Model inputs'!B26)/'Model inputs'!B23,0))+'Model inputs'!AI22*'Model inputs'!B28</f>
        <v>1.2</v>
      </c>
      <c r="AJ21" s="12">
        <f>IF(IF(IF(IF(ISERROR('Model inputs'!AJ25&lt;='Model inputs'!B23),'Model inputs'!AJ25&lt;='Model inputs'!B23,IF(OR('Model inputs'!AJ25="",'Model inputs'!B23=""),"",'Model inputs'!AJ25&lt;='Model inputs'!B23))="",FALSE,IF(ISERROR('Model inputs'!AJ25&lt;='Model inputs'!B23),'Model inputs'!AJ25&lt;='Model inputs'!B23,IF(OR('Model inputs'!AJ25="",'Model inputs'!B23=""),"",'Model inputs'!AJ25&lt;='Model inputs'!B23))),('Model inputs'!B27-'Model inputs'!B26)/'Model inputs'!B23,0)="",0,IF(IF(IF(ISERROR('Model inputs'!AJ25&lt;='Model inputs'!B23),'Model inputs'!AJ25&lt;='Model inputs'!B23,IF(OR('Model inputs'!AJ25="",'Model inputs'!B23=""),"",'Model inputs'!AJ25&lt;='Model inputs'!B23))="",FALSE,IF(ISERROR('Model inputs'!AJ25&lt;='Model inputs'!B23),'Model inputs'!AJ25&lt;='Model inputs'!B23,IF(OR('Model inputs'!AJ25="",'Model inputs'!B23=""),"",'Model inputs'!AJ25&lt;='Model inputs'!B23))),('Model inputs'!B27-'Model inputs'!B26)/'Model inputs'!B23,0))+'Model inputs'!AJ22*'Model inputs'!B28</f>
        <v>1.2</v>
      </c>
      <c r="AK21" s="12">
        <f>IF(IF(IF(IF(ISERROR('Model inputs'!AK25&lt;='Model inputs'!B23),'Model inputs'!AK25&lt;='Model inputs'!B23,IF(OR('Model inputs'!AK25="",'Model inputs'!B23=""),"",'Model inputs'!AK25&lt;='Model inputs'!B23))="",FALSE,IF(ISERROR('Model inputs'!AK25&lt;='Model inputs'!B23),'Model inputs'!AK25&lt;='Model inputs'!B23,IF(OR('Model inputs'!AK25="",'Model inputs'!B23=""),"",'Model inputs'!AK25&lt;='Model inputs'!B23))),('Model inputs'!B27-'Model inputs'!B26)/'Model inputs'!B23,0)="",0,IF(IF(IF(ISERROR('Model inputs'!AK25&lt;='Model inputs'!B23),'Model inputs'!AK25&lt;='Model inputs'!B23,IF(OR('Model inputs'!AK25="",'Model inputs'!B23=""),"",'Model inputs'!AK25&lt;='Model inputs'!B23))="",FALSE,IF(ISERROR('Model inputs'!AK25&lt;='Model inputs'!B23),'Model inputs'!AK25&lt;='Model inputs'!B23,IF(OR('Model inputs'!AK25="",'Model inputs'!B23=""),"",'Model inputs'!AK25&lt;='Model inputs'!B23))),('Model inputs'!B27-'Model inputs'!B26)/'Model inputs'!B23,0))+'Model inputs'!AK22*'Model inputs'!B28</f>
        <v>1.2</v>
      </c>
      <c r="AL21" s="12">
        <f>IF(IF(IF(IF(ISERROR('Model inputs'!AL25&lt;='Model inputs'!B23),'Model inputs'!AL25&lt;='Model inputs'!B23,IF(OR('Model inputs'!AL25="",'Model inputs'!B23=""),"",'Model inputs'!AL25&lt;='Model inputs'!B23))="",FALSE,IF(ISERROR('Model inputs'!AL25&lt;='Model inputs'!B23),'Model inputs'!AL25&lt;='Model inputs'!B23,IF(OR('Model inputs'!AL25="",'Model inputs'!B23=""),"",'Model inputs'!AL25&lt;='Model inputs'!B23))),('Model inputs'!B27-'Model inputs'!B26)/'Model inputs'!B23,0)="",0,IF(IF(IF(ISERROR('Model inputs'!AL25&lt;='Model inputs'!B23),'Model inputs'!AL25&lt;='Model inputs'!B23,IF(OR('Model inputs'!AL25="",'Model inputs'!B23=""),"",'Model inputs'!AL25&lt;='Model inputs'!B23))="",FALSE,IF(ISERROR('Model inputs'!AL25&lt;='Model inputs'!B23),'Model inputs'!AL25&lt;='Model inputs'!B23,IF(OR('Model inputs'!AL25="",'Model inputs'!B23=""),"",'Model inputs'!AL25&lt;='Model inputs'!B23))),('Model inputs'!B27-'Model inputs'!B26)/'Model inputs'!B23,0))+'Model inputs'!AL22*'Model inputs'!B28</f>
        <v>1.2</v>
      </c>
      <c r="AM21" s="12">
        <f>IF(IF(IF(IF(ISERROR('Model inputs'!AM25&lt;='Model inputs'!B23),'Model inputs'!AM25&lt;='Model inputs'!B23,IF(OR('Model inputs'!AM25="",'Model inputs'!B23=""),"",'Model inputs'!AM25&lt;='Model inputs'!B23))="",FALSE,IF(ISERROR('Model inputs'!AM25&lt;='Model inputs'!B23),'Model inputs'!AM25&lt;='Model inputs'!B23,IF(OR('Model inputs'!AM25="",'Model inputs'!B23=""),"",'Model inputs'!AM25&lt;='Model inputs'!B23))),('Model inputs'!B27-'Model inputs'!B26)/'Model inputs'!B23,0)="",0,IF(IF(IF(ISERROR('Model inputs'!AM25&lt;='Model inputs'!B23),'Model inputs'!AM25&lt;='Model inputs'!B23,IF(OR('Model inputs'!AM25="",'Model inputs'!B23=""),"",'Model inputs'!AM25&lt;='Model inputs'!B23))="",FALSE,IF(ISERROR('Model inputs'!AM25&lt;='Model inputs'!B23),'Model inputs'!AM25&lt;='Model inputs'!B23,IF(OR('Model inputs'!AM25="",'Model inputs'!B23=""),"",'Model inputs'!AM25&lt;='Model inputs'!B23))),('Model inputs'!B27-'Model inputs'!B26)/'Model inputs'!B23,0))+'Model inputs'!AM22*'Model inputs'!B28</f>
        <v>1.2</v>
      </c>
    </row>
    <row r="22">
      <c r="A22" t="inlineStr" s="11">
        <is>
          <t xml:space="preserve">Opening customers</t>
        </is>
      </c>
      <c r="C22" s="12">
        <v>0</v>
      </c>
      <c r="D22" s="12">
        <f>IF(IF(IF(ISERROR('Model inputs'!D25=1),'Model inputs'!D25=1,IF('Model inputs'!D25="","",'Model inputs'!D25=1))="",FALSE,IF(ISERROR('Model inputs'!D25=1),'Model inputs'!D25=1,IF('Model inputs'!D25="","",'Model inputs'!D25=1))),IF('Model inputs'!B26="","",'Model inputs'!B26),IF('Model inputs'!C10="","",'Model inputs'!C10))</f>
        <v>0</v>
      </c>
      <c r="E22" s="12">
        <f>IF(IF(IF(ISERROR('Model inputs'!E25=1),'Model inputs'!E25=1,IF('Model inputs'!E25="","",'Model inputs'!E25=1))="",FALSE,IF(ISERROR('Model inputs'!E25=1),'Model inputs'!E25=1,IF('Model inputs'!E25="","",'Model inputs'!E25=1))),IF('Model inputs'!B26="","",'Model inputs'!B26),IF('Model inputs'!D10="","",'Model inputs'!D10))</f>
        <v>10</v>
      </c>
      <c r="F22" s="12">
        <f>IF(IF(IF(ISERROR('Model inputs'!F25=1),'Model inputs'!F25=1,IF('Model inputs'!F25="","",'Model inputs'!F25=1))="",FALSE,IF(ISERROR('Model inputs'!F25=1),'Model inputs'!F25=1,IF('Model inputs'!F25="","",'Model inputs'!F25=1))),IF('Model inputs'!B26="","",'Model inputs'!B26),IF('Model inputs'!E10="","",'Model inputs'!E10))</f>
        <v>20</v>
      </c>
      <c r="G22" s="12">
        <f>IF(IF(IF(ISERROR('Model inputs'!G25=1),'Model inputs'!G25=1,IF('Model inputs'!G25="","",'Model inputs'!G25=1))="",FALSE,IF(ISERROR('Model inputs'!G25=1),'Model inputs'!G25=1,IF('Model inputs'!G25="","",'Model inputs'!G25=1))),IF('Model inputs'!B26="","",'Model inputs'!B26),IF('Model inputs'!F10="","",'Model inputs'!F10))</f>
        <v>30</v>
      </c>
      <c r="H22" s="12">
        <f>IF(IF(IF(ISERROR('Model inputs'!H25=1),'Model inputs'!H25=1,IF('Model inputs'!H25="","",'Model inputs'!H25=1))="",FALSE,IF(ISERROR('Model inputs'!H25=1),'Model inputs'!H25=1,IF('Model inputs'!H25="","",'Model inputs'!H25=1))),IF('Model inputs'!B26="","",'Model inputs'!B26),IF('Model inputs'!G10="","",'Model inputs'!G10))</f>
        <v>40</v>
      </c>
      <c r="I22" s="12">
        <f>IF(IF(IF(ISERROR('Model inputs'!I25=1),'Model inputs'!I25=1,IF('Model inputs'!I25="","",'Model inputs'!I25=1))="",FALSE,IF(ISERROR('Model inputs'!I25=1),'Model inputs'!I25=1,IF('Model inputs'!I25="","",'Model inputs'!I25=1))),IF('Model inputs'!B26="","",'Model inputs'!B26),IF('Model inputs'!H10="","",'Model inputs'!H10))</f>
        <v>50</v>
      </c>
      <c r="J22" s="12">
        <f>IF(IF(IF(ISERROR('Model inputs'!J25=1),'Model inputs'!J25=1,IF('Model inputs'!J25="","",'Model inputs'!J25=1))="",FALSE,IF(ISERROR('Model inputs'!J25=1),'Model inputs'!J25=1,IF('Model inputs'!J25="","",'Model inputs'!J25=1))),IF('Model inputs'!B26="","",'Model inputs'!B26),IF('Model inputs'!I10="","",'Model inputs'!I10))</f>
        <v>60</v>
      </c>
      <c r="K22" s="12">
        <f>IF(IF(IF(ISERROR('Model inputs'!K25=1),'Model inputs'!K25=1,IF('Model inputs'!K25="","",'Model inputs'!K25=1))="",FALSE,IF(ISERROR('Model inputs'!K25=1),'Model inputs'!K25=1,IF('Model inputs'!K25="","",'Model inputs'!K25=1))),IF('Model inputs'!B26="","",'Model inputs'!B26),IF('Model inputs'!J10="","",'Model inputs'!J10))</f>
        <v>70</v>
      </c>
      <c r="L22" s="12">
        <f>IF(IF(IF(ISERROR('Model inputs'!L25=1),'Model inputs'!L25=1,IF('Model inputs'!L25="","",'Model inputs'!L25=1))="",FALSE,IF(ISERROR('Model inputs'!L25=1),'Model inputs'!L25=1,IF('Model inputs'!L25="","",'Model inputs'!L25=1))),IF('Model inputs'!B26="","",'Model inputs'!B26),IF('Model inputs'!K10="","",'Model inputs'!K10))</f>
        <v>80</v>
      </c>
      <c r="M22" s="12">
        <f>IF(IF(IF(ISERROR('Model inputs'!M25=1),'Model inputs'!M25=1,IF('Model inputs'!M25="","",'Model inputs'!M25=1))="",FALSE,IF(ISERROR('Model inputs'!M25=1),'Model inputs'!M25=1,IF('Model inputs'!M25="","",'Model inputs'!M25=1))),IF('Model inputs'!B26="","",'Model inputs'!B26),IF('Model inputs'!L10="","",'Model inputs'!L10))</f>
        <v>90</v>
      </c>
      <c r="N22" s="12">
        <f>IF(IF(IF(ISERROR('Model inputs'!N25=1),'Model inputs'!N25=1,IF('Model inputs'!N25="","",'Model inputs'!N25=1))="",FALSE,IF(ISERROR('Model inputs'!N25=1),'Model inputs'!N25=1,IF('Model inputs'!N25="","",'Model inputs'!N25=1))),IF('Model inputs'!B26="","",'Model inputs'!B26),IF('Model inputs'!M10="","",'Model inputs'!M10))</f>
        <v>100</v>
      </c>
      <c r="O22" s="12">
        <f>IF(IF(IF(ISERROR('Model inputs'!O25=1),'Model inputs'!O25=1,IF('Model inputs'!O25="","",'Model inputs'!O25=1))="",FALSE,IF(ISERROR('Model inputs'!O25=1),'Model inputs'!O25=1,IF('Model inputs'!O25="","",'Model inputs'!O25=1))),IF('Model inputs'!B26="","",'Model inputs'!B26),IF('Model inputs'!N10="","",'Model inputs'!N10))</f>
        <v>110</v>
      </c>
      <c r="P22" s="12">
        <f>IF(IF(IF(ISERROR('Model inputs'!P25=1),'Model inputs'!P25=1,IF('Model inputs'!P25="","",'Model inputs'!P25=1))="",FALSE,IF(ISERROR('Model inputs'!P25=1),'Model inputs'!P25=1,IF('Model inputs'!P25="","",'Model inputs'!P25=1))),IF('Model inputs'!B26="","",'Model inputs'!B26),IF('Model inputs'!O10="","",'Model inputs'!O10))</f>
        <v>120</v>
      </c>
      <c r="Q22" s="12">
        <f>IF(IF(IF(ISERROR('Model inputs'!Q25=1),'Model inputs'!Q25=1,IF('Model inputs'!Q25="","",'Model inputs'!Q25=1))="",FALSE,IF(ISERROR('Model inputs'!Q25=1),'Model inputs'!Q25=1,IF('Model inputs'!Q25="","",'Model inputs'!Q25=1))),IF('Model inputs'!B26="","",'Model inputs'!B26),IF('Model inputs'!P10="","",'Model inputs'!P10))</f>
        <v>120</v>
      </c>
      <c r="R22" s="12">
        <f>IF(IF(IF(ISERROR('Model inputs'!R25=1),'Model inputs'!R25=1,IF('Model inputs'!R25="","",'Model inputs'!R25=1))="",FALSE,IF(ISERROR('Model inputs'!R25=1),'Model inputs'!R25=1,IF('Model inputs'!R25="","",'Model inputs'!R25=1))),IF('Model inputs'!B26="","",'Model inputs'!B26),IF('Model inputs'!Q10="","",'Model inputs'!Q10))</f>
        <v>120</v>
      </c>
      <c r="S22" s="12">
        <f>IF(IF(IF(ISERROR('Model inputs'!S25=1),'Model inputs'!S25=1,IF('Model inputs'!S25="","",'Model inputs'!S25=1))="",FALSE,IF(ISERROR('Model inputs'!S25=1),'Model inputs'!S25=1,IF('Model inputs'!S25="","",'Model inputs'!S25=1))),IF('Model inputs'!B26="","",'Model inputs'!B26),IF('Model inputs'!R10="","",'Model inputs'!R10))</f>
        <v>120</v>
      </c>
      <c r="T22" s="12">
        <f>IF(IF(IF(ISERROR('Model inputs'!T25=1),'Model inputs'!T25=1,IF('Model inputs'!T25="","",'Model inputs'!T25=1))="",FALSE,IF(ISERROR('Model inputs'!T25=1),'Model inputs'!T25=1,IF('Model inputs'!T25="","",'Model inputs'!T25=1))),IF('Model inputs'!B26="","",'Model inputs'!B26),IF('Model inputs'!S10="","",'Model inputs'!S10))</f>
        <v>120</v>
      </c>
      <c r="U22" s="12">
        <f>IF(IF(IF(ISERROR('Model inputs'!U25=1),'Model inputs'!U25=1,IF('Model inputs'!U25="","",'Model inputs'!U25=1))="",FALSE,IF(ISERROR('Model inputs'!U25=1),'Model inputs'!U25=1,IF('Model inputs'!U25="","",'Model inputs'!U25=1))),IF('Model inputs'!B26="","",'Model inputs'!B26),IF('Model inputs'!T10="","",'Model inputs'!T10))</f>
        <v>120</v>
      </c>
      <c r="V22" s="12">
        <f>IF(IF(IF(ISERROR('Model inputs'!V25=1),'Model inputs'!V25=1,IF('Model inputs'!V25="","",'Model inputs'!V25=1))="",FALSE,IF(ISERROR('Model inputs'!V25=1),'Model inputs'!V25=1,IF('Model inputs'!V25="","",'Model inputs'!V25=1))),IF('Model inputs'!B26="","",'Model inputs'!B26),IF('Model inputs'!U10="","",'Model inputs'!U10))</f>
        <v>120</v>
      </c>
      <c r="W22" s="12">
        <f>IF(IF(IF(ISERROR('Model inputs'!W25=1),'Model inputs'!W25=1,IF('Model inputs'!W25="","",'Model inputs'!W25=1))="",FALSE,IF(ISERROR('Model inputs'!W25=1),'Model inputs'!W25=1,IF('Model inputs'!W25="","",'Model inputs'!W25=1))),IF('Model inputs'!B26="","",'Model inputs'!B26),IF('Model inputs'!V10="","",'Model inputs'!V10))</f>
        <v>120</v>
      </c>
      <c r="X22" s="12">
        <f>IF(IF(IF(ISERROR('Model inputs'!X25=1),'Model inputs'!X25=1,IF('Model inputs'!X25="","",'Model inputs'!X25=1))="",FALSE,IF(ISERROR('Model inputs'!X25=1),'Model inputs'!X25=1,IF('Model inputs'!X25="","",'Model inputs'!X25=1))),IF('Model inputs'!B26="","",'Model inputs'!B26),IF('Model inputs'!W10="","",'Model inputs'!W10))</f>
        <v>120</v>
      </c>
      <c r="Y22" s="12">
        <f>IF(IF(IF(ISERROR('Model inputs'!Y25=1),'Model inputs'!Y25=1,IF('Model inputs'!Y25="","",'Model inputs'!Y25=1))="",FALSE,IF(ISERROR('Model inputs'!Y25=1),'Model inputs'!Y25=1,IF('Model inputs'!Y25="","",'Model inputs'!Y25=1))),IF('Model inputs'!B26="","",'Model inputs'!B26),IF('Model inputs'!X10="","",'Model inputs'!X10))</f>
        <v>120</v>
      </c>
      <c r="Z22" s="12">
        <f>IF(IF(IF(ISERROR('Model inputs'!Z25=1),'Model inputs'!Z25=1,IF('Model inputs'!Z25="","",'Model inputs'!Z25=1))="",FALSE,IF(ISERROR('Model inputs'!Z25=1),'Model inputs'!Z25=1,IF('Model inputs'!Z25="","",'Model inputs'!Z25=1))),IF('Model inputs'!B26="","",'Model inputs'!B26),IF('Model inputs'!Y10="","",'Model inputs'!Y10))</f>
        <v>120</v>
      </c>
      <c r="AA22" s="12">
        <f>IF(IF(IF(ISERROR('Model inputs'!AA25=1),'Model inputs'!AA25=1,IF('Model inputs'!AA25="","",'Model inputs'!AA25=1))="",FALSE,IF(ISERROR('Model inputs'!AA25=1),'Model inputs'!AA25=1,IF('Model inputs'!AA25="","",'Model inputs'!AA25=1))),IF('Model inputs'!B26="","",'Model inputs'!B26),IF('Model inputs'!Z10="","",'Model inputs'!Z10))</f>
        <v>120</v>
      </c>
      <c r="AB22" s="12">
        <f>IF(IF(IF(ISERROR('Model inputs'!AB25=1),'Model inputs'!AB25=1,IF('Model inputs'!AB25="","",'Model inputs'!AB25=1))="",FALSE,IF(ISERROR('Model inputs'!AB25=1),'Model inputs'!AB25=1,IF('Model inputs'!AB25="","",'Model inputs'!AB25=1))),IF('Model inputs'!B26="","",'Model inputs'!B26),IF('Model inputs'!AA10="","",'Model inputs'!AA10))</f>
        <v>120</v>
      </c>
      <c r="AC22" s="12">
        <f>IF(IF(IF(ISERROR('Model inputs'!AC25=1),'Model inputs'!AC25=1,IF('Model inputs'!AC25="","",'Model inputs'!AC25=1))="",FALSE,IF(ISERROR('Model inputs'!AC25=1),'Model inputs'!AC25=1,IF('Model inputs'!AC25="","",'Model inputs'!AC25=1))),IF('Model inputs'!B26="","",'Model inputs'!B26),IF('Model inputs'!AB10="","",'Model inputs'!AB10))</f>
        <v>120</v>
      </c>
      <c r="AD22" s="12">
        <f>IF(IF(IF(ISERROR('Model inputs'!AD25=1),'Model inputs'!AD25=1,IF('Model inputs'!AD25="","",'Model inputs'!AD25=1))="",FALSE,IF(ISERROR('Model inputs'!AD25=1),'Model inputs'!AD25=1,IF('Model inputs'!AD25="","",'Model inputs'!AD25=1))),IF('Model inputs'!B26="","",'Model inputs'!B26),IF('Model inputs'!AC10="","",'Model inputs'!AC10))</f>
        <v>120</v>
      </c>
      <c r="AE22" s="12">
        <f>IF(IF(IF(ISERROR('Model inputs'!AE25=1),'Model inputs'!AE25=1,IF('Model inputs'!AE25="","",'Model inputs'!AE25=1))="",FALSE,IF(ISERROR('Model inputs'!AE25=1),'Model inputs'!AE25=1,IF('Model inputs'!AE25="","",'Model inputs'!AE25=1))),IF('Model inputs'!B26="","",'Model inputs'!B26),IF('Model inputs'!AD10="","",'Model inputs'!AD10))</f>
        <v>120</v>
      </c>
      <c r="AF22" s="12">
        <f>IF(IF(IF(ISERROR('Model inputs'!AF25=1),'Model inputs'!AF25=1,IF('Model inputs'!AF25="","",'Model inputs'!AF25=1))="",FALSE,IF(ISERROR('Model inputs'!AF25=1),'Model inputs'!AF25=1,IF('Model inputs'!AF25="","",'Model inputs'!AF25=1))),IF('Model inputs'!B26="","",'Model inputs'!B26),IF('Model inputs'!AE10="","",'Model inputs'!AE10))</f>
        <v>120</v>
      </c>
      <c r="AG22" s="12">
        <f>IF(IF(IF(ISERROR('Model inputs'!AG25=1),'Model inputs'!AG25=1,IF('Model inputs'!AG25="","",'Model inputs'!AG25=1))="",FALSE,IF(ISERROR('Model inputs'!AG25=1),'Model inputs'!AG25=1,IF('Model inputs'!AG25="","",'Model inputs'!AG25=1))),IF('Model inputs'!B26="","",'Model inputs'!B26),IF('Model inputs'!AF10="","",'Model inputs'!AF10))</f>
        <v>120</v>
      </c>
      <c r="AH22" s="12">
        <f>IF(IF(IF(ISERROR('Model inputs'!AH25=1),'Model inputs'!AH25=1,IF('Model inputs'!AH25="","",'Model inputs'!AH25=1))="",FALSE,IF(ISERROR('Model inputs'!AH25=1),'Model inputs'!AH25=1,IF('Model inputs'!AH25="","",'Model inputs'!AH25=1))),IF('Model inputs'!B26="","",'Model inputs'!B26),IF('Model inputs'!AG10="","",'Model inputs'!AG10))</f>
        <v>120</v>
      </c>
      <c r="AI22" s="12">
        <f>IF(IF(IF(ISERROR('Model inputs'!AI25=1),'Model inputs'!AI25=1,IF('Model inputs'!AI25="","",'Model inputs'!AI25=1))="",FALSE,IF(ISERROR('Model inputs'!AI25=1),'Model inputs'!AI25=1,IF('Model inputs'!AI25="","",'Model inputs'!AI25=1))),IF('Model inputs'!B26="","",'Model inputs'!B26),IF('Model inputs'!AH10="","",'Model inputs'!AH10))</f>
        <v>120</v>
      </c>
      <c r="AJ22" s="12">
        <f>IF(IF(IF(ISERROR('Model inputs'!AJ25=1),'Model inputs'!AJ25=1,IF('Model inputs'!AJ25="","",'Model inputs'!AJ25=1))="",FALSE,IF(ISERROR('Model inputs'!AJ25=1),'Model inputs'!AJ25=1,IF('Model inputs'!AJ25="","",'Model inputs'!AJ25=1))),IF('Model inputs'!B26="","",'Model inputs'!B26),IF('Model inputs'!AI10="","",'Model inputs'!AI10))</f>
        <v>120</v>
      </c>
      <c r="AK22" s="12">
        <f>IF(IF(IF(ISERROR('Model inputs'!AK25=1),'Model inputs'!AK25=1,IF('Model inputs'!AK25="","",'Model inputs'!AK25=1))="",FALSE,IF(ISERROR('Model inputs'!AK25=1),'Model inputs'!AK25=1,IF('Model inputs'!AK25="","",'Model inputs'!AK25=1))),IF('Model inputs'!B26="","",'Model inputs'!B26),IF('Model inputs'!AJ10="","",'Model inputs'!AJ10))</f>
        <v>120</v>
      </c>
      <c r="AL22" s="12">
        <f>IF(IF(IF(ISERROR('Model inputs'!AL25=1),'Model inputs'!AL25=1,IF('Model inputs'!AL25="","",'Model inputs'!AL25=1))="",FALSE,IF(ISERROR('Model inputs'!AL25=1),'Model inputs'!AL25=1,IF('Model inputs'!AL25="","",'Model inputs'!AL25=1))),IF('Model inputs'!B26="","",'Model inputs'!B26),IF('Model inputs'!AK10="","",'Model inputs'!AK10))</f>
        <v>120</v>
      </c>
      <c r="AM22" s="12">
        <f>IF(IF(IF(ISERROR('Model inputs'!AM25=1),'Model inputs'!AM25=1,IF('Model inputs'!AM25="","",'Model inputs'!AM25=1))="",FALSE,IF(ISERROR('Model inputs'!AM25=1),'Model inputs'!AM25=1,IF('Model inputs'!AM25="","",'Model inputs'!AM25=1))),IF('Model inputs'!B26="","",'Model inputs'!B26),IF('Model inputs'!AL10="","",'Model inputs'!AL10))</f>
        <v>120</v>
      </c>
    </row>
    <row r="23">
      <c r="A23" t="inlineStr" s="11">
        <is>
          <t xml:space="preserve">Customer ramp months · Gross customer additions</t>
        </is>
      </c>
      <c r="B23" s="12">
        <f>12</f>
        <v>12</v>
      </c>
    </row>
    <row r="24">
      <c r="A24" t="inlineStr" s="11">
        <is>
          <t xml:space="preserve">Ending customers · TenantGuard cash forecast</t>
        </is>
      </c>
      <c r="C24" s="12">
        <f>IF('Model inputs'!C10="","",'Model inputs'!C10)</f>
        <v>0</v>
      </c>
      <c r="D24" s="12">
        <f>IF('Model inputs'!D10="","",'Model inputs'!D10)</f>
        <v>10</v>
      </c>
      <c r="E24" s="12">
        <f>IF('Model inputs'!E10="","",'Model inputs'!E10)</f>
        <v>20</v>
      </c>
      <c r="F24" s="12">
        <f>IF('Model inputs'!F10="","",'Model inputs'!F10)</f>
        <v>30</v>
      </c>
      <c r="G24" s="12">
        <f>IF('Model inputs'!G10="","",'Model inputs'!G10)</f>
        <v>40</v>
      </c>
      <c r="H24" s="12">
        <f>IF('Model inputs'!H10="","",'Model inputs'!H10)</f>
        <v>50</v>
      </c>
      <c r="I24" s="12">
        <f>IF('Model inputs'!I10="","",'Model inputs'!I10)</f>
        <v>60</v>
      </c>
      <c r="J24" s="12">
        <f>IF('Model inputs'!J10="","",'Model inputs'!J10)</f>
        <v>70</v>
      </c>
      <c r="K24" s="12">
        <f>IF('Model inputs'!K10="","",'Model inputs'!K10)</f>
        <v>80</v>
      </c>
      <c r="L24" s="12">
        <f>IF('Model inputs'!L10="","",'Model inputs'!L10)</f>
        <v>90</v>
      </c>
      <c r="M24" s="12">
        <f>IF('Model inputs'!M10="","",'Model inputs'!M10)</f>
        <v>100</v>
      </c>
      <c r="N24" s="12">
        <f>IF('Model inputs'!N10="","",'Model inputs'!N10)</f>
        <v>110</v>
      </c>
      <c r="O24" s="12">
        <f>IF('Model inputs'!O10="","",'Model inputs'!O10)</f>
        <v>120</v>
      </c>
      <c r="P24" s="12">
        <f>IF('Model inputs'!P10="","",'Model inputs'!P10)</f>
        <v>120</v>
      </c>
      <c r="Q24" s="12">
        <f>IF('Model inputs'!Q10="","",'Model inputs'!Q10)</f>
        <v>120</v>
      </c>
      <c r="R24" s="12">
        <f>IF('Model inputs'!R10="","",'Model inputs'!R10)</f>
        <v>120</v>
      </c>
      <c r="S24" s="12">
        <f>IF('Model inputs'!S10="","",'Model inputs'!S10)</f>
        <v>120</v>
      </c>
      <c r="T24" s="12">
        <f>IF('Model inputs'!T10="","",'Model inputs'!T10)</f>
        <v>120</v>
      </c>
      <c r="U24" s="12">
        <f>IF('Model inputs'!U10="","",'Model inputs'!U10)</f>
        <v>120</v>
      </c>
      <c r="V24" s="12">
        <f>IF('Model inputs'!V10="","",'Model inputs'!V10)</f>
        <v>120</v>
      </c>
      <c r="W24" s="12">
        <f>IF('Model inputs'!W10="","",'Model inputs'!W10)</f>
        <v>120</v>
      </c>
      <c r="X24" s="12">
        <f>IF('Model inputs'!X10="","",'Model inputs'!X10)</f>
        <v>120</v>
      </c>
      <c r="Y24" s="12">
        <f>IF('Model inputs'!Y10="","",'Model inputs'!Y10)</f>
        <v>120</v>
      </c>
      <c r="Z24" s="12">
        <f>IF('Model inputs'!Z10="","",'Model inputs'!Z10)</f>
        <v>120</v>
      </c>
      <c r="AA24" s="12">
        <f>IF('Model inputs'!AA10="","",'Model inputs'!AA10)</f>
        <v>120</v>
      </c>
      <c r="AB24" s="12">
        <f>IF('Model inputs'!AB10="","",'Model inputs'!AB10)</f>
        <v>120</v>
      </c>
      <c r="AC24" s="12">
        <f>IF('Model inputs'!AC10="","",'Model inputs'!AC10)</f>
        <v>120</v>
      </c>
      <c r="AD24" s="12">
        <f>IF('Model inputs'!AD10="","",'Model inputs'!AD10)</f>
        <v>120</v>
      </c>
      <c r="AE24" s="12">
        <f>IF('Model inputs'!AE10="","",'Model inputs'!AE10)</f>
        <v>120</v>
      </c>
      <c r="AF24" s="12">
        <f>IF('Model inputs'!AF10="","",'Model inputs'!AF10)</f>
        <v>120</v>
      </c>
      <c r="AG24" s="12">
        <f>IF('Model inputs'!AG10="","",'Model inputs'!AG10)</f>
        <v>120</v>
      </c>
      <c r="AH24" s="12">
        <f>IF('Model inputs'!AH10="","",'Model inputs'!AH10)</f>
        <v>120</v>
      </c>
      <c r="AI24" s="12">
        <f>IF('Model inputs'!AI10="","",'Model inputs'!AI10)</f>
        <v>120</v>
      </c>
      <c r="AJ24" s="12">
        <f>IF('Model inputs'!AJ10="","",'Model inputs'!AJ10)</f>
        <v>120</v>
      </c>
      <c r="AK24" s="12">
        <f>IF('Model inputs'!AK10="","",'Model inputs'!AK10)</f>
        <v>120</v>
      </c>
      <c r="AL24" s="12">
        <f>IF('Model inputs'!AL10="","",'Model inputs'!AL10)</f>
        <v>120</v>
      </c>
      <c r="AM24" s="12">
        <f>IF('Model inputs'!AM10="","",'Model inputs'!AM10)</f>
        <v>120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</row>
    <row r="25">
      <c r="A25" t="inlineStr" s="11">
        <is>
          <t xml:space="preserve">Forecast month · TenantGuard cash forecast</t>
        </is>
      </c>
      <c r="C25" s="12">
        <v>0</v>
      </c>
      <c r="D25" s="12">
        <f>DATEDIF(DATE(2026,10,1),DATE(2026,10,1),"M")+1</f>
        <v>1</v>
      </c>
      <c r="E25" s="12">
        <f>DATEDIF(DATE(2026,10,1),DATE(2026,11,1),"M")+1</f>
        <v>2</v>
      </c>
      <c r="F25" s="12">
        <f>DATEDIF(DATE(2026,10,1),DATE(2026,12,1),"M")+1</f>
        <v>3</v>
      </c>
      <c r="G25" s="12">
        <f>DATEDIF(DATE(2026,10,1),DATE(2027,1,1),"M")+1</f>
        <v>4</v>
      </c>
      <c r="H25" s="12">
        <f>DATEDIF(DATE(2026,10,1),DATE(2027,2,1),"M")+1</f>
        <v>5</v>
      </c>
      <c r="I25" s="12">
        <f>DATEDIF(DATE(2026,10,1),DATE(2027,3,1),"M")+1</f>
        <v>6</v>
      </c>
      <c r="J25" s="12">
        <f>DATEDIF(DATE(2026,10,1),DATE(2027,4,1),"M")+1</f>
        <v>7</v>
      </c>
      <c r="K25" s="12">
        <f>DATEDIF(DATE(2026,10,1),DATE(2027,5,1),"M")+1</f>
        <v>8</v>
      </c>
      <c r="L25" s="12">
        <f>DATEDIF(DATE(2026,10,1),DATE(2027,6,1),"M")+1</f>
        <v>9</v>
      </c>
      <c r="M25" s="12">
        <f>DATEDIF(DATE(2026,10,1),DATE(2027,7,1),"M")+1</f>
        <v>10</v>
      </c>
      <c r="N25" s="12">
        <f>DATEDIF(DATE(2026,10,1),DATE(2027,8,1),"M")+1</f>
        <v>11</v>
      </c>
      <c r="O25" s="12">
        <f>DATEDIF(DATE(2026,10,1),DATE(2027,9,1),"M")+1</f>
        <v>12</v>
      </c>
      <c r="P25" s="12">
        <f>DATEDIF(DATE(2026,10,1),DATE(2027,10,1),"M")+1</f>
        <v>13</v>
      </c>
      <c r="Q25" s="12">
        <f>DATEDIF(DATE(2026,10,1),DATE(2027,11,1),"M")+1</f>
        <v>14</v>
      </c>
      <c r="R25" s="12">
        <f>DATEDIF(DATE(2026,10,1),DATE(2027,12,1),"M")+1</f>
        <v>15</v>
      </c>
      <c r="S25" s="12">
        <f>DATEDIF(DATE(2026,10,1),DATE(2028,1,1),"M")+1</f>
        <v>16</v>
      </c>
      <c r="T25" s="12">
        <f>DATEDIF(DATE(2026,10,1),DATE(2028,2,1),"M")+1</f>
        <v>17</v>
      </c>
      <c r="U25" s="12">
        <f>DATEDIF(DATE(2026,10,1),DATE(2028,3,1),"M")+1</f>
        <v>18</v>
      </c>
      <c r="V25" s="12">
        <f>DATEDIF(DATE(2026,10,1),DATE(2028,4,1),"M")+1</f>
        <v>19</v>
      </c>
      <c r="W25" s="12">
        <f>DATEDIF(DATE(2026,10,1),DATE(2028,5,1),"M")+1</f>
        <v>20</v>
      </c>
      <c r="X25" s="12">
        <f>DATEDIF(DATE(2026,10,1),DATE(2028,6,1),"M")+1</f>
        <v>21</v>
      </c>
      <c r="Y25" s="12">
        <f>DATEDIF(DATE(2026,10,1),DATE(2028,7,1),"M")+1</f>
        <v>22</v>
      </c>
      <c r="Z25" s="12">
        <f>DATEDIF(DATE(2026,10,1),DATE(2028,8,1),"M")+1</f>
        <v>23</v>
      </c>
      <c r="AA25" s="12">
        <f>DATEDIF(DATE(2026,10,1),DATE(2028,9,1),"M")+1</f>
        <v>24</v>
      </c>
      <c r="AB25" s="12">
        <f>DATEDIF(DATE(2026,10,1),DATE(2028,10,1),"M")+1</f>
        <v>25</v>
      </c>
      <c r="AC25" s="12">
        <f>DATEDIF(DATE(2026,10,1),DATE(2028,11,1),"M")+1</f>
        <v>26</v>
      </c>
      <c r="AD25" s="12">
        <f>DATEDIF(DATE(2026,10,1),DATE(2028,12,1),"M")+1</f>
        <v>27</v>
      </c>
      <c r="AE25" s="12">
        <f>DATEDIF(DATE(2026,10,1),DATE(2029,1,1),"M")+1</f>
        <v>28</v>
      </c>
      <c r="AF25" s="12">
        <f>DATEDIF(DATE(2026,10,1),DATE(2029,2,1),"M")+1</f>
        <v>29</v>
      </c>
      <c r="AG25" s="12">
        <f>DATEDIF(DATE(2026,10,1),DATE(2029,3,1),"M")+1</f>
        <v>30</v>
      </c>
      <c r="AH25" s="12">
        <f>DATEDIF(DATE(2026,10,1),DATE(2029,4,1),"M")+1</f>
        <v>31</v>
      </c>
      <c r="AI25" s="12">
        <f>DATEDIF(DATE(2026,10,1),DATE(2029,5,1),"M")+1</f>
        <v>32</v>
      </c>
      <c r="AJ25" s="12">
        <f>DATEDIF(DATE(2026,10,1),DATE(2029,6,1),"M")+1</f>
        <v>33</v>
      </c>
      <c r="AK25" s="12">
        <f>DATEDIF(DATE(2026,10,1),DATE(2029,7,1),"M")+1</f>
        <v>34</v>
      </c>
      <c r="AL25" s="12">
        <f>DATEDIF(DATE(2026,10,1),DATE(2029,8,1),"M")+1</f>
        <v>35</v>
      </c>
      <c r="AM25" s="12">
        <f>DATEDIF(DATE(2026,10,1),DATE(2029,9,1),"M")+1</f>
        <v>36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</row>
    <row r="26">
      <c r="A26" t="inlineStr" s="11">
        <is>
          <t xml:space="preserve">Launch customers · Gross customer additions</t>
        </is>
      </c>
      <c r="B26" s="12">
        <f>0</f>
        <v>0</v>
      </c>
    </row>
    <row r="27">
      <c r="A27" t="inlineStr" s="11">
        <is>
          <t xml:space="preserve">Month 12 customers · Gross customer additions</t>
        </is>
      </c>
      <c r="B27" s="12">
        <f>120</f>
        <v>120</v>
      </c>
    </row>
    <row r="28">
      <c r="A28" t="inlineStr" s="11">
        <is>
          <t xml:space="preserve">Monthly customer churn · Customer losses</t>
        </is>
      </c>
      <c r="B28" s="15">
        <f>0.01</f>
        <v>0.01</v>
      </c>
    </row>
    <row r="29">
      <c r="A29" t="inlineStr" s="11">
        <is>
          <t xml:space="preserve">Customer losses · TenantGuard cash forecast</t>
        </is>
      </c>
      <c r="C29" s="12">
        <f>IF('Model inputs'!C19="","",'Model inputs'!C19)</f>
        <v>0</v>
      </c>
      <c r="D29" s="12">
        <f>IF('Model inputs'!D19="","",'Model inputs'!D19)</f>
        <v>0</v>
      </c>
      <c r="E29" s="12">
        <f>IF('Model inputs'!E19="","",'Model inputs'!E19)</f>
        <v>0.1</v>
      </c>
      <c r="F29" s="12">
        <f>IF('Model inputs'!F19="","",'Model inputs'!F19)</f>
        <v>0.2</v>
      </c>
      <c r="G29" s="12">
        <f>IF('Model inputs'!G19="","",'Model inputs'!G19)</f>
        <v>0.3</v>
      </c>
      <c r="H29" s="12">
        <f>IF('Model inputs'!H19="","",'Model inputs'!H19)</f>
        <v>0.4</v>
      </c>
      <c r="I29" s="12">
        <f>IF('Model inputs'!I19="","",'Model inputs'!I19)</f>
        <v>0.5</v>
      </c>
      <c r="J29" s="12">
        <f>IF('Model inputs'!J19="","",'Model inputs'!J19)</f>
        <v>0.6</v>
      </c>
      <c r="K29" s="12">
        <f>IF('Model inputs'!K19="","",'Model inputs'!K19)</f>
        <v>0.7000000000000001</v>
      </c>
      <c r="L29" s="12">
        <f>IF('Model inputs'!L19="","",'Model inputs'!L19)</f>
        <v>0.8</v>
      </c>
      <c r="M29" s="12">
        <f>IF('Model inputs'!M19="","",'Model inputs'!M19)</f>
        <v>0.9</v>
      </c>
      <c r="N29" s="12">
        <f>IF('Model inputs'!N19="","",'Model inputs'!N19)</f>
        <v>1</v>
      </c>
      <c r="O29" s="12">
        <f>IF('Model inputs'!O19="","",'Model inputs'!O19)</f>
        <v>1.1</v>
      </c>
      <c r="P29" s="12">
        <f>IF('Model inputs'!P19="","",'Model inputs'!P19)</f>
        <v>1.2</v>
      </c>
      <c r="Q29" s="12">
        <f>IF('Model inputs'!Q19="","",'Model inputs'!Q19)</f>
        <v>1.2</v>
      </c>
      <c r="R29" s="12">
        <f>IF('Model inputs'!R19="","",'Model inputs'!R19)</f>
        <v>1.2</v>
      </c>
      <c r="S29" s="12">
        <f>IF('Model inputs'!S19="","",'Model inputs'!S19)</f>
        <v>1.2</v>
      </c>
      <c r="T29" s="12">
        <f>IF('Model inputs'!T19="","",'Model inputs'!T19)</f>
        <v>1.2</v>
      </c>
      <c r="U29" s="12">
        <f>IF('Model inputs'!U19="","",'Model inputs'!U19)</f>
        <v>1.2</v>
      </c>
      <c r="V29" s="12">
        <f>IF('Model inputs'!V19="","",'Model inputs'!V19)</f>
        <v>1.2</v>
      </c>
      <c r="W29" s="12">
        <f>IF('Model inputs'!W19="","",'Model inputs'!W19)</f>
        <v>1.2</v>
      </c>
      <c r="X29" s="12">
        <f>IF('Model inputs'!X19="","",'Model inputs'!X19)</f>
        <v>1.2</v>
      </c>
      <c r="Y29" s="12">
        <f>IF('Model inputs'!Y19="","",'Model inputs'!Y19)</f>
        <v>1.2</v>
      </c>
      <c r="Z29" s="12">
        <f>IF('Model inputs'!Z19="","",'Model inputs'!Z19)</f>
        <v>1.2</v>
      </c>
      <c r="AA29" s="12">
        <f>IF('Model inputs'!AA19="","",'Model inputs'!AA19)</f>
        <v>1.2</v>
      </c>
      <c r="AB29" s="12">
        <f>IF('Model inputs'!AB19="","",'Model inputs'!AB19)</f>
        <v>1.2</v>
      </c>
      <c r="AC29" s="12">
        <f>IF('Model inputs'!AC19="","",'Model inputs'!AC19)</f>
        <v>1.2</v>
      </c>
      <c r="AD29" s="12">
        <f>IF('Model inputs'!AD19="","",'Model inputs'!AD19)</f>
        <v>1.2</v>
      </c>
      <c r="AE29" s="12">
        <f>IF('Model inputs'!AE19="","",'Model inputs'!AE19)</f>
        <v>1.2</v>
      </c>
      <c r="AF29" s="12">
        <f>IF('Model inputs'!AF19="","",'Model inputs'!AF19)</f>
        <v>1.2</v>
      </c>
      <c r="AG29" s="12">
        <f>IF('Model inputs'!AG19="","",'Model inputs'!AG19)</f>
        <v>1.2</v>
      </c>
      <c r="AH29" s="12">
        <f>IF('Model inputs'!AH19="","",'Model inputs'!AH19)</f>
        <v>1.2</v>
      </c>
      <c r="AI29" s="12">
        <f>IF('Model inputs'!AI19="","",'Model inputs'!AI19)</f>
        <v>1.2</v>
      </c>
      <c r="AJ29" s="12">
        <f>IF('Model inputs'!AJ19="","",'Model inputs'!AJ19)</f>
        <v>1.2</v>
      </c>
      <c r="AK29" s="12">
        <f>IF('Model inputs'!AK19="","",'Model inputs'!AK19)</f>
        <v>1.2</v>
      </c>
      <c r="AL29" s="12">
        <f>IF('Model inputs'!AL19="","",'Model inputs'!AL19)</f>
        <v>1.2</v>
      </c>
      <c r="AM29" s="12">
        <f>IF('Model inputs'!AM19="","",'Model inputs'!AM19)</f>
        <v>1.2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</row>
    <row r="30">
      <c r="A30" t="inlineStr" s="11">
        <is>
          <t xml:space="preserve">Opening customers</t>
        </is>
      </c>
      <c r="C30" s="12">
        <f>IF('Model inputs'!C22="","",'Model inputs'!C22)</f>
        <v>0</v>
      </c>
      <c r="D30" s="12">
        <f>IF('Model inputs'!D22="","",'Model inputs'!D22)</f>
        <v>0</v>
      </c>
      <c r="E30" s="12">
        <f>IF('Model inputs'!E22="","",'Model inputs'!E22)</f>
        <v>10</v>
      </c>
      <c r="F30" s="12">
        <f>IF('Model inputs'!F22="","",'Model inputs'!F22)</f>
        <v>20</v>
      </c>
      <c r="G30" s="12">
        <f>IF('Model inputs'!G22="","",'Model inputs'!G22)</f>
        <v>30</v>
      </c>
      <c r="H30" s="12">
        <f>IF('Model inputs'!H22="","",'Model inputs'!H22)</f>
        <v>40</v>
      </c>
      <c r="I30" s="12">
        <f>IF('Model inputs'!I22="","",'Model inputs'!I22)</f>
        <v>50</v>
      </c>
      <c r="J30" s="12">
        <f>IF('Model inputs'!J22="","",'Model inputs'!J22)</f>
        <v>60</v>
      </c>
      <c r="K30" s="12">
        <f>IF('Model inputs'!K22="","",'Model inputs'!K22)</f>
        <v>70</v>
      </c>
      <c r="L30" s="12">
        <f>IF('Model inputs'!L22="","",'Model inputs'!L22)</f>
        <v>80</v>
      </c>
      <c r="M30" s="12">
        <f>IF('Model inputs'!M22="","",'Model inputs'!M22)</f>
        <v>90</v>
      </c>
      <c r="N30" s="12">
        <f>IF('Model inputs'!N22="","",'Model inputs'!N22)</f>
        <v>100</v>
      </c>
      <c r="O30" s="12">
        <f>IF('Model inputs'!O22="","",'Model inputs'!O22)</f>
        <v>110</v>
      </c>
      <c r="P30" s="12">
        <f>IF('Model inputs'!P22="","",'Model inputs'!P22)</f>
        <v>120</v>
      </c>
      <c r="Q30" s="12">
        <f>IF('Model inputs'!Q22="","",'Model inputs'!Q22)</f>
        <v>120</v>
      </c>
      <c r="R30" s="12">
        <f>IF('Model inputs'!R22="","",'Model inputs'!R22)</f>
        <v>120</v>
      </c>
      <c r="S30" s="12">
        <f>IF('Model inputs'!S22="","",'Model inputs'!S22)</f>
        <v>120</v>
      </c>
      <c r="T30" s="12">
        <f>IF('Model inputs'!T22="","",'Model inputs'!T22)</f>
        <v>120</v>
      </c>
      <c r="U30" s="12">
        <f>IF('Model inputs'!U22="","",'Model inputs'!U22)</f>
        <v>120</v>
      </c>
      <c r="V30" s="12">
        <f>IF('Model inputs'!V22="","",'Model inputs'!V22)</f>
        <v>120</v>
      </c>
      <c r="W30" s="12">
        <f>IF('Model inputs'!W22="","",'Model inputs'!W22)</f>
        <v>120</v>
      </c>
      <c r="X30" s="12">
        <f>IF('Model inputs'!X22="","",'Model inputs'!X22)</f>
        <v>120</v>
      </c>
      <c r="Y30" s="12">
        <f>IF('Model inputs'!Y22="","",'Model inputs'!Y22)</f>
        <v>120</v>
      </c>
      <c r="Z30" s="12">
        <f>IF('Model inputs'!Z22="","",'Model inputs'!Z22)</f>
        <v>120</v>
      </c>
      <c r="AA30" s="12">
        <f>IF('Model inputs'!AA22="","",'Model inputs'!AA22)</f>
        <v>120</v>
      </c>
      <c r="AB30" s="12">
        <f>IF('Model inputs'!AB22="","",'Model inputs'!AB22)</f>
        <v>120</v>
      </c>
      <c r="AC30" s="12">
        <f>IF('Model inputs'!AC22="","",'Model inputs'!AC22)</f>
        <v>120</v>
      </c>
      <c r="AD30" s="12">
        <f>IF('Model inputs'!AD22="","",'Model inputs'!AD22)</f>
        <v>120</v>
      </c>
      <c r="AE30" s="12">
        <f>IF('Model inputs'!AE22="","",'Model inputs'!AE22)</f>
        <v>120</v>
      </c>
      <c r="AF30" s="12">
        <f>IF('Model inputs'!AF22="","",'Model inputs'!AF22)</f>
        <v>120</v>
      </c>
      <c r="AG30" s="12">
        <f>IF('Model inputs'!AG22="","",'Model inputs'!AG22)</f>
        <v>120</v>
      </c>
      <c r="AH30" s="12">
        <f>IF('Model inputs'!AH22="","",'Model inputs'!AH22)</f>
        <v>120</v>
      </c>
      <c r="AI30" s="12">
        <f>IF('Model inputs'!AI22="","",'Model inputs'!AI22)</f>
        <v>120</v>
      </c>
      <c r="AJ30" s="12">
        <f>IF('Model inputs'!AJ22="","",'Model inputs'!AJ22)</f>
        <v>120</v>
      </c>
      <c r="AK30" s="12">
        <f>IF('Model inputs'!AK22="","",'Model inputs'!AK22)</f>
        <v>120</v>
      </c>
      <c r="AL30" s="12">
        <f>IF('Model inputs'!AL22="","",'Model inputs'!AL22)</f>
        <v>120</v>
      </c>
      <c r="AM30" s="12">
        <f>IF('Model inputs'!AM22="","",'Model inputs'!AM22)</f>
        <v>120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</row>
  </sheetData>
  <mergeCells count="2">
    <mergeCell ref="A1:AU1"/>
    <mergeCell ref="A2:AU2"/>
  </mergeCells>
</worksheet>
</file>